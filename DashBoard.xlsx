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Roshan\OneDrive\Desktop\sushant\"/>
    </mc:Choice>
  </mc:AlternateContent>
  <xr:revisionPtr revIDLastSave="0" documentId="13_ncr:1_{D6860CE1-8FB6-4B21-92CB-BCA2219766B1}" xr6:coauthVersionLast="47" xr6:coauthVersionMax="47" xr10:uidLastSave="{00000000-0000-0000-0000-000000000000}"/>
  <bookViews>
    <workbookView xWindow="-108" yWindow="-108" windowWidth="23256" windowHeight="12456" activeTab="2" xr2:uid="{C6863B05-35A5-4B6B-98E0-BCD08A7CC7DA}"/>
  </bookViews>
  <sheets>
    <sheet name="Sheet1" sheetId="1" r:id="rId1"/>
    <sheet name="Sheet3" sheetId="3" r:id="rId2"/>
    <sheet name="DashBoard" sheetId="4" r:id="rId3"/>
  </sheets>
  <definedNames>
    <definedName name="Slicer_Months__Order_Date">#N/A</definedName>
    <definedName name="Slicer_Payment_Method">#N/A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3" l="1"/>
  <c r="B4" i="3"/>
  <c r="B12" i="3"/>
  <c r="B16" i="3"/>
</calcChain>
</file>

<file path=xl/sharedStrings.xml><?xml version="1.0" encoding="utf-8"?>
<sst xmlns="http://schemas.openxmlformats.org/spreadsheetml/2006/main" count="4086" uniqueCount="1071">
  <si>
    <t>Order ID</t>
  </si>
  <si>
    <t>Product Name</t>
  </si>
  <si>
    <t>Category</t>
  </si>
  <si>
    <t>Price (INR)</t>
  </si>
  <si>
    <t>Quantity Sold</t>
  </si>
  <si>
    <t>Total Sales (INR)</t>
  </si>
  <si>
    <t>Order Date</t>
  </si>
  <si>
    <t>Payment Method</t>
  </si>
  <si>
    <t>Customer Rating</t>
  </si>
  <si>
    <t>ORD00001</t>
  </si>
  <si>
    <t>Educational Book</t>
  </si>
  <si>
    <t>Books</t>
  </si>
  <si>
    <t>Debit Card</t>
  </si>
  <si>
    <t>ORD00002</t>
  </si>
  <si>
    <t>Jeans</t>
  </si>
  <si>
    <t>Clothing</t>
  </si>
  <si>
    <t>UPI</t>
  </si>
  <si>
    <t>ORD00003</t>
  </si>
  <si>
    <t>Face Cream</t>
  </si>
  <si>
    <t>Beauty</t>
  </si>
  <si>
    <t>ORD00004</t>
  </si>
  <si>
    <t>Smartwatch</t>
  </si>
  <si>
    <t>Electronics</t>
  </si>
  <si>
    <t>ORD00005</t>
  </si>
  <si>
    <t>Cookware Set</t>
  </si>
  <si>
    <t>Home &amp; Kitchen</t>
  </si>
  <si>
    <t>ORD00006</t>
  </si>
  <si>
    <t>Mixer Grinder</t>
  </si>
  <si>
    <t>Wallet</t>
  </si>
  <si>
    <t>ORD00007</t>
  </si>
  <si>
    <t>Sneakers</t>
  </si>
  <si>
    <t>ORD00008</t>
  </si>
  <si>
    <t>Table Lamp</t>
  </si>
  <si>
    <t>ORD00009</t>
  </si>
  <si>
    <t>Jacket</t>
  </si>
  <si>
    <t>ORD00010</t>
  </si>
  <si>
    <t>Tablet</t>
  </si>
  <si>
    <t>ORD00011</t>
  </si>
  <si>
    <t>Perfume</t>
  </si>
  <si>
    <t>ORD00012</t>
  </si>
  <si>
    <t>Lipstick</t>
  </si>
  <si>
    <t>ORD00013</t>
  </si>
  <si>
    <t>COD</t>
  </si>
  <si>
    <t>ORD00014</t>
  </si>
  <si>
    <t>Smartphone</t>
  </si>
  <si>
    <t>ORD00015</t>
  </si>
  <si>
    <t>Comic Book</t>
  </si>
  <si>
    <t>Credit Card</t>
  </si>
  <si>
    <t>ORD00016</t>
  </si>
  <si>
    <t>ORD00017</t>
  </si>
  <si>
    <t>Cookbook</t>
  </si>
  <si>
    <t>ORD00018</t>
  </si>
  <si>
    <t>ORD00019</t>
  </si>
  <si>
    <t>ORD00020</t>
  </si>
  <si>
    <t>T-Shirt</t>
  </si>
  <si>
    <t>ORD00021</t>
  </si>
  <si>
    <t>Net Banking</t>
  </si>
  <si>
    <t>ORD00022</t>
  </si>
  <si>
    <t>ORD00023</t>
  </si>
  <si>
    <t>ORD00024</t>
  </si>
  <si>
    <t>Bedsheet</t>
  </si>
  <si>
    <t>ORD00025</t>
  </si>
  <si>
    <t>ORD00026</t>
  </si>
  <si>
    <t>ORD00027</t>
  </si>
  <si>
    <t>ORD00028</t>
  </si>
  <si>
    <t>ORD00029</t>
  </si>
  <si>
    <t>ORD00030</t>
  </si>
  <si>
    <t>ORD00031</t>
  </si>
  <si>
    <t>ORD00032</t>
  </si>
  <si>
    <t>Hair Dryer</t>
  </si>
  <si>
    <t>ORD00033</t>
  </si>
  <si>
    <t>Laptop</t>
  </si>
  <si>
    <t>ORD00034</t>
  </si>
  <si>
    <t>ORD00035</t>
  </si>
  <si>
    <t>ORD00036</t>
  </si>
  <si>
    <t>Shampoo</t>
  </si>
  <si>
    <t>ORD00037</t>
  </si>
  <si>
    <t>ORD00038</t>
  </si>
  <si>
    <t>ORD00039</t>
  </si>
  <si>
    <t>ORD00040</t>
  </si>
  <si>
    <t>ORD00041</t>
  </si>
  <si>
    <t>ORD00042</t>
  </si>
  <si>
    <t>Headphones</t>
  </si>
  <si>
    <t>ORD00043</t>
  </si>
  <si>
    <t>ORD00044</t>
  </si>
  <si>
    <t>ORD00045</t>
  </si>
  <si>
    <t>ORD00046</t>
  </si>
  <si>
    <t>ORD00047</t>
  </si>
  <si>
    <t>ORD00048</t>
  </si>
  <si>
    <t>ORD00049</t>
  </si>
  <si>
    <t>ORD00050</t>
  </si>
  <si>
    <t>ORD00051</t>
  </si>
  <si>
    <t>ORD00052</t>
  </si>
  <si>
    <t>Fiction Novel</t>
  </si>
  <si>
    <t>ORD00053</t>
  </si>
  <si>
    <t>ORD00054</t>
  </si>
  <si>
    <t>ORD00055</t>
  </si>
  <si>
    <t>ORD00056</t>
  </si>
  <si>
    <t>ORD00057</t>
  </si>
  <si>
    <t>ORD00058</t>
  </si>
  <si>
    <t>Self-Help Book</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</si>
  <si>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</si>
  <si>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</si>
  <si>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</si>
  <si>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</si>
  <si>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</si>
  <si>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</si>
  <si>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</si>
  <si>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</si>
  <si>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</si>
  <si>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</si>
  <si>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</si>
  <si>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</si>
  <si>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</si>
  <si>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</si>
  <si>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</si>
  <si>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</si>
  <si>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</si>
  <si>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</si>
  <si>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</si>
  <si>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Sofa Cover</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</si>
  <si>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</si>
  <si>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</si>
  <si>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</si>
  <si>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</si>
  <si>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</si>
  <si>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</si>
  <si>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</si>
  <si>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</si>
  <si>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</si>
  <si>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</si>
  <si>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</si>
  <si>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</si>
  <si>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</si>
  <si>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</si>
  <si>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</si>
  <si>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</si>
  <si>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</si>
  <si>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</si>
  <si>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</si>
  <si>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</si>
  <si>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</si>
  <si>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</si>
  <si>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</si>
  <si>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</si>
  <si>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</si>
  <si>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</si>
  <si>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</si>
  <si>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</si>
  <si>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</si>
  <si>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</si>
  <si>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Dress</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</si>
  <si>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</si>
  <si>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</si>
  <si>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</si>
  <si>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</si>
  <si>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</si>
  <si>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</si>
  <si>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</si>
  <si>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</si>
  <si>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</si>
  <si>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</si>
  <si>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</si>
  <si>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</si>
  <si>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</si>
  <si>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</si>
  <si>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</si>
  <si>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</si>
  <si>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</si>
  <si>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</si>
  <si>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</si>
  <si>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</si>
  <si>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</si>
  <si>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</si>
  <si>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</si>
  <si>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</si>
  <si>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</si>
  <si>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</si>
  <si>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</si>
  <si>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</si>
  <si>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</si>
  <si>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</si>
  <si>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</si>
  <si>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</si>
  <si>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</si>
  <si>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</si>
  <si>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</si>
  <si>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</si>
  <si>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</si>
  <si>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</si>
  <si>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</si>
  <si>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</si>
  <si>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</si>
  <si>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</si>
  <si>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</si>
  <si>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</si>
  <si>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</si>
  <si>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</si>
  <si>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</si>
  <si>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</si>
  <si>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</si>
  <si>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</si>
  <si>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</si>
  <si>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</si>
  <si>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</si>
  <si>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</si>
  <si>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</si>
  <si>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</si>
  <si>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</si>
  <si>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</si>
  <si>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</si>
  <si>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</si>
  <si>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</si>
  <si>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</si>
  <si>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</si>
  <si>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</si>
  <si>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</si>
  <si>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</si>
  <si>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</si>
  <si>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</si>
  <si>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</si>
  <si>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</si>
  <si>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</si>
  <si>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</si>
  <si>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</si>
  <si>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</si>
  <si>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</si>
  <si>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</si>
  <si>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</si>
  <si>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</si>
  <si>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</si>
  <si>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</si>
  <si>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</si>
  <si>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</si>
  <si>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</si>
  <si>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</si>
  <si>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</si>
  <si>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</si>
  <si>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</si>
  <si>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</si>
  <si>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</si>
  <si>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</si>
  <si>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</si>
  <si>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</si>
  <si>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</si>
  <si>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</si>
  <si>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</si>
  <si>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</si>
  <si>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</si>
  <si>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</si>
  <si>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</si>
  <si>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</si>
  <si>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</si>
  <si>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</si>
  <si>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</si>
  <si>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</si>
  <si>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</si>
  <si>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</si>
  <si>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</si>
  <si>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</si>
  <si>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</si>
  <si>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</si>
  <si>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</si>
  <si>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</si>
  <si>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</si>
  <si>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</si>
  <si>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</si>
  <si>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</si>
  <si>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</si>
  <si>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</si>
  <si>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</si>
  <si>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</si>
  <si>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</si>
  <si>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</si>
  <si>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</si>
  <si>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</si>
  <si>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</si>
  <si>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</si>
  <si>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</si>
  <si>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</si>
  <si>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</si>
  <si>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</si>
  <si>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</si>
  <si>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</si>
  <si>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</si>
  <si>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</si>
  <si>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</si>
  <si>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</si>
  <si>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</si>
  <si>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</si>
  <si>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</si>
  <si>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</si>
  <si>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</si>
  <si>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</si>
  <si>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</si>
  <si>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</si>
  <si>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</si>
  <si>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</si>
  <si>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</si>
  <si>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</si>
  <si>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</si>
  <si>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</si>
  <si>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</si>
  <si>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</si>
  <si>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</si>
  <si>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</si>
  <si>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</si>
  <si>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</si>
  <si>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</si>
  <si>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</si>
  <si>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</si>
  <si>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</si>
  <si>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</si>
  <si>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</si>
  <si>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</si>
  <si>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</si>
  <si>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</si>
  <si>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</si>
  <si>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</si>
  <si>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</si>
  <si>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</si>
  <si>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</si>
  <si>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</si>
  <si>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</si>
  <si>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</si>
  <si>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</si>
  <si>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</si>
  <si>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</si>
  <si>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</si>
  <si>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</si>
  <si>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</si>
  <si>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</si>
  <si>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</si>
  <si>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</si>
  <si>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</si>
  <si>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</si>
  <si>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</si>
  <si>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</si>
  <si>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</si>
  <si>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</si>
  <si>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</si>
  <si>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</si>
  <si>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</si>
  <si>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</si>
  <si>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</si>
  <si>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</si>
  <si>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</si>
  <si>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</si>
  <si>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</si>
  <si>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</si>
  <si>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</si>
  <si>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</si>
  <si>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</si>
  <si>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</si>
  <si>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</si>
  <si>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</si>
  <si>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</si>
  <si>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</si>
  <si>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</si>
  <si>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</si>
  <si>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</si>
  <si>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</si>
  <si>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</si>
  <si>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</si>
  <si>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</si>
  <si>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</si>
  <si>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</si>
  <si>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</si>
  <si>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</si>
  <si>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</si>
  <si>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</si>
  <si>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</si>
  <si>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</si>
  <si>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</si>
  <si>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</si>
  <si>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</si>
  <si>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</si>
  <si>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</si>
  <si>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</si>
  <si>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</si>
  <si>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</si>
  <si>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</si>
  <si>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</si>
  <si>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</si>
  <si>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</si>
  <si>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</si>
  <si>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</si>
  <si>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</si>
  <si>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</si>
  <si>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</si>
  <si>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</si>
  <si>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</si>
  <si>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</si>
  <si>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</si>
  <si>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</si>
  <si>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</si>
  <si>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</si>
  <si>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</si>
  <si>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</si>
  <si>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</si>
  <si>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</si>
  <si>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</si>
  <si>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</si>
  <si>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</si>
  <si>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</si>
  <si>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</si>
  <si>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</si>
  <si>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</si>
  <si>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</si>
  <si>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</si>
  <si>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</si>
  <si>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</si>
  <si>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</si>
  <si>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</si>
  <si>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</si>
  <si>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</si>
  <si>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</si>
  <si>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</si>
  <si>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</si>
  <si>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</si>
  <si>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</si>
  <si>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</si>
  <si>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</si>
  <si>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</si>
  <si>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</si>
  <si>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</si>
  <si>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</si>
  <si>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</si>
  <si>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</si>
  <si>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</si>
  <si>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</si>
  <si>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</si>
  <si>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</si>
  <si>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</si>
  <si>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</si>
  <si>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</si>
  <si>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</si>
  <si>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</si>
  <si>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</si>
  <si>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</si>
  <si>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</si>
  <si>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</si>
  <si>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</si>
  <si>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</si>
  <si>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</si>
  <si>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</si>
  <si>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</si>
  <si>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</si>
  <si>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</si>
  <si>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</si>
  <si>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</si>
  <si>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</si>
  <si>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</si>
  <si>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</si>
  <si>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</si>
  <si>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</si>
  <si>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</si>
  <si>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</si>
  <si>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</si>
  <si>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</si>
  <si>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</si>
  <si>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</si>
  <si>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</si>
  <si>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</si>
  <si>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</si>
  <si>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</si>
  <si>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</si>
  <si>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</si>
  <si>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</si>
  <si>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</si>
  <si>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</si>
  <si>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</si>
  <si>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</si>
  <si>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</si>
  <si>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</si>
  <si>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</si>
  <si>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</si>
  <si>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</si>
  <si>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</si>
  <si>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</si>
  <si>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</si>
  <si>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</si>
  <si>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</si>
  <si>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</si>
  <si>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</si>
  <si>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</si>
  <si>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</si>
  <si>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</si>
  <si>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</si>
  <si>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</si>
  <si>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</si>
  <si>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</si>
  <si>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</si>
  <si>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</si>
  <si>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</si>
  <si>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</si>
  <si>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</si>
  <si>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</si>
  <si>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</si>
  <si>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</si>
  <si>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</si>
  <si>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</si>
  <si>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</si>
  <si>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</si>
  <si>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</si>
  <si>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</si>
  <si>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</si>
  <si>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</si>
  <si>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</si>
  <si>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</si>
  <si>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</si>
  <si>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</si>
  <si>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</si>
  <si>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</si>
  <si>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</si>
  <si>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</si>
  <si>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</si>
  <si>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</si>
  <si>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</si>
  <si>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</si>
  <si>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</si>
  <si>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</si>
  <si>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</si>
  <si>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</si>
  <si>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</si>
  <si>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</si>
  <si>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</si>
  <si>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</si>
  <si>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</si>
  <si>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</si>
  <si>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</si>
  <si>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</si>
  <si>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</si>
  <si>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</si>
  <si>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</si>
  <si>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</si>
  <si>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</si>
  <si>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</si>
  <si>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</si>
  <si>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</si>
  <si>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</si>
  <si>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</si>
  <si>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</si>
  <si>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</si>
  <si>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</si>
  <si>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</si>
  <si>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</si>
  <si>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</si>
  <si>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</si>
  <si>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</si>
  <si>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</si>
  <si>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</si>
  <si>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</si>
  <si>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</si>
  <si>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</si>
  <si>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</si>
  <si>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</si>
  <si>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</si>
  <si>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</si>
  <si>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</si>
  <si>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</si>
  <si>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</si>
  <si>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</si>
  <si>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</si>
  <si>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</si>
  <si>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</si>
  <si>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</si>
  <si>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</si>
  <si>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</si>
  <si>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</si>
  <si>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</si>
  <si>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</si>
  <si>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</si>
  <si>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</si>
  <si>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</si>
  <si>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</si>
  <si>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</si>
  <si>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</si>
  <si>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</si>
  <si>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</si>
  <si>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</si>
  <si>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</si>
  <si>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</si>
  <si>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</si>
  <si>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</si>
  <si>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</si>
  <si>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</si>
  <si>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</si>
  <si>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</si>
  <si>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</si>
  <si>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</si>
  <si>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</si>
  <si>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</si>
  <si>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</si>
  <si>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</si>
  <si>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</si>
  <si>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</si>
  <si>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</si>
  <si>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</si>
  <si>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</si>
  <si>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</si>
  <si>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</si>
  <si>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</si>
  <si>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</si>
  <si>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</si>
  <si>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</si>
  <si>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</si>
  <si>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</si>
  <si>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</si>
  <si>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</si>
  <si>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</si>
  <si>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</si>
  <si>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</si>
  <si>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</si>
  <si>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</si>
  <si>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</si>
  <si>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</si>
  <si>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</si>
  <si>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</si>
  <si>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</si>
  <si>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</si>
  <si>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</si>
  <si>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</si>
  <si>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</si>
  <si>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</si>
  <si>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</si>
  <si>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</si>
  <si>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</si>
  <si>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</si>
  <si>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</si>
  <si>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</si>
  <si>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</si>
  <si>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</si>
  <si>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</si>
  <si>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</si>
  <si>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</si>
  <si>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</si>
  <si>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</si>
  <si>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</si>
  <si>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</si>
  <si>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</si>
  <si>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</si>
  <si>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</si>
  <si>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</si>
  <si>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</si>
  <si>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</si>
  <si>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</si>
  <si>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</si>
  <si>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</si>
  <si>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</si>
  <si>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</si>
  <si>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</si>
  <si>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</si>
  <si>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</si>
  <si>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</si>
  <si>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</si>
  <si>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</si>
  <si>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</si>
  <si>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</si>
  <si>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</si>
  <si>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</si>
  <si>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</si>
  <si>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</si>
  <si>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</si>
  <si>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</si>
  <si>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</si>
  <si>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</si>
  <si>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</si>
  <si>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</si>
  <si>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</si>
  <si>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</si>
  <si>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</si>
  <si>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</si>
  <si>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</si>
  <si>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</si>
  <si>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</si>
  <si>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</si>
  <si>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</si>
  <si>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</si>
  <si>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</si>
  <si>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</si>
  <si>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</si>
  <si>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</si>
  <si>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</si>
  <si>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</si>
  <si>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</si>
  <si>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</si>
  <si>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</si>
  <si>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</si>
  <si>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</si>
  <si>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</si>
  <si>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</si>
  <si>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</si>
  <si>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</si>
  <si>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</si>
  <si>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</si>
  <si>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</si>
  <si>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</si>
  <si>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</si>
  <si>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</si>
  <si>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</si>
  <si>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</si>
  <si>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</si>
  <si>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</si>
  <si>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</si>
  <si>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</si>
  <si>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</si>
  <si>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</si>
  <si>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</si>
  <si>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</si>
  <si>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</si>
  <si>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</si>
  <si>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</si>
  <si>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</si>
  <si>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</si>
  <si>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</si>
  <si>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</si>
  <si>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</si>
  <si>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</si>
  <si>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</si>
  <si>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</si>
  <si>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</si>
  <si>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</si>
  <si>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</si>
  <si>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</si>
  <si>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</si>
  <si>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</si>
  <si>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</si>
  <si>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</si>
  <si>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</si>
  <si>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</si>
  <si>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</si>
  <si>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</si>
  <si>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</si>
  <si>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</si>
  <si>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</si>
  <si>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</si>
  <si>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</si>
  <si>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</si>
  <si>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</si>
  <si>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</si>
  <si>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</si>
  <si>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</si>
  <si>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</si>
  <si>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</si>
  <si>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</si>
  <si>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</si>
  <si>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</si>
  <si>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</si>
  <si>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</si>
  <si>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</si>
  <si>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</si>
  <si>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</si>
  <si>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</si>
  <si>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</si>
  <si>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</si>
  <si>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</si>
  <si>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</si>
  <si>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</si>
  <si>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</si>
  <si>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</si>
  <si>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</si>
  <si>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</si>
  <si>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</si>
  <si>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</si>
  <si>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</si>
  <si>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</si>
  <si>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</si>
  <si>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</si>
  <si>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</si>
  <si>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</si>
  <si>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</si>
  <si>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</si>
  <si>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</si>
  <si>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</si>
  <si>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</si>
  <si>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</si>
  <si>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</si>
  <si>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</si>
  <si>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</si>
  <si>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</si>
  <si>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</si>
  <si>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</si>
  <si>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</si>
  <si>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</si>
  <si>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</si>
  <si>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</si>
  <si>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</si>
  <si>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</si>
  <si>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</si>
  <si>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</si>
  <si>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</si>
  <si>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</si>
  <si>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</si>
  <si>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</si>
  <si>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</si>
  <si>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</si>
  <si>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</si>
  <si>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</si>
  <si>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</si>
  <si>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</si>
  <si>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</si>
  <si>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</si>
  <si>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</si>
  <si>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</si>
  <si>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</si>
  <si>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</si>
  <si>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</si>
  <si>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</si>
  <si>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</si>
  <si>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</si>
  <si>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</si>
  <si>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</si>
  <si>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</si>
  <si>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</si>
  <si>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</si>
  <si>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</si>
  <si>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</si>
  <si>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</si>
  <si>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</si>
  <si>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</si>
  <si>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</si>
  <si>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</si>
  <si>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</si>
  <si>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</si>
  <si>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</si>
  <si>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</si>
  <si>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</si>
  <si>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</si>
  <si>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</si>
  <si>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</si>
  <si>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</si>
  <si>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</si>
  <si>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</si>
  <si>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</si>
  <si>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</si>
  <si>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</si>
  <si>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</si>
  <si>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</si>
  <si>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</si>
  <si>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</si>
  <si>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</si>
  <si>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</si>
  <si>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</si>
  <si>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</si>
  <si>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</si>
  <si>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</si>
  <si>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</si>
  <si>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</si>
  <si>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</si>
  <si>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</si>
  <si>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</si>
  <si>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</si>
  <si>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</si>
  <si>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</si>
  <si>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</si>
  <si>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</si>
  <si>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</si>
  <si>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</si>
  <si>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</si>
  <si>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</si>
  <si>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</si>
  <si>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</si>
  <si>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</si>
  <si>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</si>
  <si>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</si>
  <si>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</si>
  <si>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</si>
  <si>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</si>
  <si>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</si>
  <si>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</si>
  <si>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</si>
  <si>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</si>
  <si>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</si>
  <si>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</si>
  <si>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</si>
  <si>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</si>
  <si>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</si>
  <si>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</si>
  <si>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</si>
  <si>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</si>
  <si>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</si>
  <si>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</si>
  <si>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</si>
  <si>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</si>
  <si>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</si>
  <si>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</si>
  <si>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</si>
  <si>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</si>
  <si>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</si>
  <si>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</si>
  <si>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</si>
  <si>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</si>
  <si>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</si>
  <si>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</si>
  <si>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</si>
  <si>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</si>
  <si>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</si>
  <si>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</si>
  <si>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</si>
  <si>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</si>
  <si>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</si>
  <si>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</si>
  <si>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</si>
  <si>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</si>
  <si>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</si>
  <si>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</si>
  <si>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</si>
  <si>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</si>
  <si>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</si>
  <si>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</si>
  <si>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</si>
  <si>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</si>
  <si>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</si>
  <si>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</si>
  <si>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</si>
  <si>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</si>
  <si>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</si>
  <si>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</si>
  <si>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</si>
  <si>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</si>
  <si>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</si>
  <si>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</si>
  <si>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</si>
  <si>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</si>
  <si>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</si>
  <si>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</si>
  <si>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</si>
  <si>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</si>
  <si>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</si>
  <si>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</si>
  <si>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</si>
  <si>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</si>
  <si>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</si>
  <si>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</si>
  <si>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</si>
  <si>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</si>
  <si>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</si>
  <si>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</si>
  <si>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</si>
  <si>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</si>
  <si>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</si>
  <si>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</si>
  <si>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</si>
  <si>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</si>
  <si>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</si>
  <si>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</si>
  <si>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</si>
  <si>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</si>
  <si>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</si>
  <si>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</si>
  <si>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</si>
  <si>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</si>
  <si>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</si>
  <si>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</si>
  <si>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</si>
  <si>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</si>
  <si>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</si>
  <si>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</si>
  <si>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</si>
  <si>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</si>
  <si>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</si>
  <si>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</si>
  <si>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</si>
  <si>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</si>
  <si>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</si>
  <si>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</si>
  <si>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</si>
  <si>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</si>
  <si>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</si>
  <si>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</si>
  <si>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</si>
  <si>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</si>
  <si>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</si>
  <si>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</si>
  <si>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</si>
  <si>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</si>
  <si>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</si>
  <si>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</si>
  <si>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</si>
  <si>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</si>
  <si>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</si>
  <si>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</si>
  <si>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</si>
  <si>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</si>
  <si>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</si>
  <si>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</si>
  <si>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</si>
  <si>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</si>
  <si>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</si>
  <si>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</si>
  <si>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</si>
  <si>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</si>
  <si>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</si>
  <si>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</si>
  <si>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</si>
  <si>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</si>
  <si>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</si>
  <si>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</si>
  <si>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</si>
  <si>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</si>
  <si>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</si>
  <si>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</si>
  <si>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</si>
  <si>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</si>
  <si>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</si>
  <si>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</si>
  <si>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</si>
  <si>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</si>
  <si>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</si>
  <si>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</si>
  <si>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</si>
  <si>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</si>
  <si>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</si>
  <si>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</si>
  <si>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</si>
  <si>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</si>
  <si>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</si>
  <si>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</si>
  <si>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</si>
  <si>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</si>
  <si>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</si>
  <si>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</si>
  <si>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</si>
  <si>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</si>
  <si>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</si>
  <si>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</si>
  <si>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</si>
  <si>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</si>
  <si>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</si>
  <si>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</si>
  <si>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</si>
  <si>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</si>
  <si>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</si>
  <si>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</si>
  <si>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</si>
  <si>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</si>
  <si>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</si>
  <si>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</si>
  <si>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</si>
  <si>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</si>
  <si>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</si>
  <si>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</si>
  <si>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</si>
  <si>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</si>
  <si>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[&lt;1000]##,##0;[&lt;1000000]#,###.0,"K";#,###.0,,"M"</t>
  </si>
  <si>
    <t>Sum of Total Sales (INR)</t>
  </si>
  <si>
    <t>Sum of Quantity Sold</t>
  </si>
  <si>
    <t>Sum of Price (INR)</t>
  </si>
  <si>
    <t>Average of Customer Rating</t>
  </si>
  <si>
    <t>Sales</t>
  </si>
  <si>
    <t>Sold</t>
  </si>
  <si>
    <t>Price</t>
  </si>
  <si>
    <t>Rating</t>
  </si>
  <si>
    <t>Row Labels</t>
  </si>
  <si>
    <t>Grand Total</t>
  </si>
  <si>
    <t>2024</t>
  </si>
  <si>
    <t>2025</t>
  </si>
  <si>
    <t>Jan</t>
  </si>
  <si>
    <t>Feb</t>
  </si>
  <si>
    <t>Mar</t>
  </si>
  <si>
    <t>Apr</t>
  </si>
  <si>
    <t>May</t>
  </si>
  <si>
    <t>Jun</t>
  </si>
  <si>
    <t>Jul</t>
  </si>
  <si>
    <t>Aug</t>
  </si>
  <si>
    <t>Sep</t>
  </si>
  <si>
    <t>Oct</t>
  </si>
  <si>
    <t>Nov</t>
  </si>
  <si>
    <t>Dec</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</si>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</sst>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lt;1000]##,##0;[&lt;1000000]#,###.0,&quot;K&quot;;#,###.0,,&quot;M&quot;"/>
  </numFmts>
  <fonts count="3" x14ac:knownFonts="1">
    <font>
      <sz val="11"/>
      <color theme="1"/>
      <name val="Calibri"/>
      <family val="2"/>
      <scheme val="minor"/>
    </font>
    <font>
      <sz val="11"/>
      <color theme="1"/>
      <name val="Calibri"/>
      <family val="2"/>
      <scheme val="minor"/>
    </font>
    <font>
      <sz val="11"/>
      <color theme="1"/>
      <name val="Times New Roman"/>
      <family val="1"/>
    </font>
  </fonts>
  <fills count="6">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FF99"/>
        <bgColor indexed="64"/>
      </patternFill>
    </fill>
    <fill>
      <patternFill patternType="solid">
        <fgColor rgb="FFFFFF66"/>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5">
    <xf numFmtId="0" fontId="0" fillId="0" borderId="0" xfId="0"/>
    <xf numFmtId="14" fontId="0" fillId="0" borderId="0" xfId="0" applyNumberFormat="1"/>
    <xf numFmtId="0" fontId="0" fillId="3" borderId="0" xfId="0" applyFill="1"/>
    <xf numFmtId="0" fontId="2" fillId="0" borderId="0" xfId="0" applyFont="1"/>
    <xf numFmtId="0" fontId="2" fillId="0" borderId="0" xfId="0" pivotButton="1" applyFont="1"/>
    <xf numFmtId="164" fontId="2" fillId="0" borderId="0" xfId="0" applyNumberFormat="1" applyFont="1" applyAlignment="1">
      <alignment horizontal="left"/>
    </xf>
    <xf numFmtId="164" fontId="2" fillId="0" borderId="0" xfId="0" applyNumberFormat="1" applyFont="1"/>
    <xf numFmtId="0" fontId="2" fillId="0" borderId="0" xfId="0" applyFont="1" applyAlignment="1">
      <alignment horizontal="left"/>
    </xf>
    <xf numFmtId="0" fontId="2" fillId="3" borderId="0" xfId="0" applyFont="1" applyFill="1"/>
    <xf numFmtId="0" fontId="2" fillId="4" borderId="0" xfId="0" applyFont="1" applyFill="1"/>
    <xf numFmtId="0" fontId="2" fillId="5" borderId="0" xfId="0" applyFont="1" applyFill="1"/>
    <xf numFmtId="0" fontId="2" fillId="2" borderId="0" xfId="0" applyFont="1" applyFill="1"/>
    <xf numFmtId="43" fontId="2" fillId="0" borderId="0" xfId="0" applyNumberFormat="1" applyFont="1"/>
    <xf numFmtId="43" fontId="2" fillId="0" borderId="0" xfId="1" applyFont="1"/>
    <xf numFmtId="0" fontId="2" fillId="0" borderId="0" xfId="0" applyNumberFormat="1" applyFont="1"/>
  </cellXfs>
  <cellStyles count="2">
    <cellStyle name="Comma" xfId="1" builtinId="3"/>
    <cellStyle name="Normal" xfId="0" builtinId="0"/>
  </cellStyles>
  <dxfs count="819">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numFmt numFmtId="164" formatCode="[&lt;1000]##,##0;[&lt;1000000]#,###.0,&quot;K&quot;;#,###.0,,&quot;M&quot;"/>
    </dxf>
    <dxf>
      <numFmt numFmtId="164" formatCode="[&lt;1000]##,##0;[&lt;1000000]#,###.0,&quot;K&quot;;#,###.0,,&quot;M&quo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164" formatCode="[&lt;1000]##,##0;[&lt;1000000]#,###.0,&quot;K&quot;;#,###.0,,&quot;M&quot;"/>
    </dxf>
    <dxf>
      <numFmt numFmtId="164" formatCode="[&lt;1000]##,##0;[&lt;1000000]#,###.0,&quot;K&quot;;#,###.0,,&quot;M&quot;"/>
    </dxf>
    <dxf>
      <numFmt numFmtId="164" formatCode="[&lt;1000]##,##0;[&lt;1000000]#,###.0,&quot;K&quot;;#,###.0,,&quot;M&quo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numFmt numFmtId="164" formatCode="[&lt;1000]##,##0;[&lt;1000000]#,###.0,&quot;K&quot;;#,###.0,,&quot;M&quot;"/>
    </dxf>
    <dxf>
      <numFmt numFmtId="164" formatCode="[&lt;1000]##,##0;[&lt;1000000]#,###.0,&quot;K&quot;;#,###.0,,&quot;M&quot;"/>
    </dxf>
    <dxf>
      <numFmt numFmtId="164" formatCode="[&lt;1000]##,##0;[&lt;1000000]#,###.0,&quot;K&quot;;#,###.0,,&quot;M&quo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numFmt numFmtId="164" formatCode="[&lt;1000]##,##0;[&lt;1000000]#,###.0,&quot;K&quot;;#,###.0,,&quot;M&quot;"/>
    </dxf>
    <dxf>
      <numFmt numFmtId="164" formatCode="[&lt;1000]##,##0;[&lt;1000000]#,###.0,&quot;K&quot;;#,###.0,,&quot;M&quo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numFmt numFmtId="35" formatCode="_ * #,##0.00_ ;_ * \-#,##0.00_ ;_ * &quot;-&quot;??_ ;_ @_ "/>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numFmt numFmtId="164" formatCode="[&lt;1000]##,##0;[&lt;1000000]#,###.0,&quot;K&quot;;#,###.0,,&quot;M&quot;"/>
    </dxf>
    <dxf>
      <numFmt numFmtId="164" formatCode="[&lt;1000]##,##0;[&lt;1000000]#,###.0,&quot;K&quot;;#,###.0,,&quot;M&quo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164" formatCode="[&lt;1000]##,##0;[&lt;1000000]#,###.0,&quot;K&quot;;#,###.0,,&quot;M&quot;"/>
    </dxf>
    <dxf>
      <numFmt numFmtId="164" formatCode="[&lt;1000]##,##0;[&lt;1000000]#,###.0,&quot;K&quot;;#,###.0,,&quot;M&quot;"/>
    </dxf>
    <dxf>
      <numFmt numFmtId="164" formatCode="[&lt;1000]##,##0;[&lt;1000000]#,###.0,&quot;K&quot;;#,###.0,,&quot;M&quo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numFmt numFmtId="164" formatCode="[&lt;1000]##,##0;[&lt;1000000]#,###.0,&quot;K&quot;;#,###.0,,&quot;M&quot;"/>
    </dxf>
    <dxf>
      <numFmt numFmtId="164" formatCode="[&lt;1000]##,##0;[&lt;1000000]#,###.0,&quot;K&quot;;#,###.0,,&quot;M&quot;"/>
    </dxf>
    <dxf>
      <numFmt numFmtId="164" formatCode="[&lt;1000]##,##0;[&lt;1000000]#,###.0,&quot;K&quot;;#,###.0,,&quot;M&quo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numFmt numFmtId="164" formatCode="[&lt;1000]##,##0;[&lt;1000000]#,###.0,&quot;K&quot;;#,###.0,,&quot;M&quot;"/>
    </dxf>
    <dxf>
      <numFmt numFmtId="164" formatCode="[&lt;1000]##,##0;[&lt;1000000]#,###.0,&quot;K&quot;;#,###.0,,&quot;M&quo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numFmt numFmtId="35" formatCode="_ * #,##0.00_ ;_ * \-#,##0.00_ ;_ * &quot;-&quot;??_ ;_ @_ "/>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numFmt numFmtId="164" formatCode="[&lt;1000]##,##0;[&lt;1000000]#,###.0,&quot;K&quot;;#,###.0,,&quot;M&quot;"/>
    </dxf>
    <dxf>
      <numFmt numFmtId="164" formatCode="[&lt;1000]##,##0;[&lt;1000000]#,###.0,&quot;K&quot;;#,###.0,,&quot;M&quo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164" formatCode="[&lt;1000]##,##0;[&lt;1000000]#,###.0,&quot;K&quot;;#,###.0,,&quot;M&quot;"/>
    </dxf>
    <dxf>
      <numFmt numFmtId="164" formatCode="[&lt;1000]##,##0;[&lt;1000000]#,###.0,&quot;K&quot;;#,###.0,,&quot;M&quot;"/>
    </dxf>
    <dxf>
      <numFmt numFmtId="164" formatCode="[&lt;1000]##,##0;[&lt;1000000]#,###.0,&quot;K&quot;;#,###.0,,&quot;M&quo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numFmt numFmtId="164" formatCode="[&lt;1000]##,##0;[&lt;1000000]#,###.0,&quot;K&quot;;#,###.0,,&quot;M&quot;"/>
    </dxf>
    <dxf>
      <numFmt numFmtId="164" formatCode="[&lt;1000]##,##0;[&lt;1000000]#,###.0,&quot;K&quot;;#,###.0,,&quot;M&quot;"/>
    </dxf>
    <dxf>
      <numFmt numFmtId="164" formatCode="[&lt;1000]##,##0;[&lt;1000000]#,###.0,&quot;K&quot;;#,###.0,,&quot;M&quo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numFmt numFmtId="164" formatCode="[&lt;1000]##,##0;[&lt;1000000]#,###.0,&quot;K&quot;;#,###.0,,&quot;M&quot;"/>
    </dxf>
    <dxf>
      <numFmt numFmtId="164" formatCode="[&lt;1000]##,##0;[&lt;1000000]#,###.0,&quot;K&quot;;#,###.0,,&quot;M&quo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numFmt numFmtId="35" formatCode="_ * #,##0.00_ ;_ * \-#,##0.00_ ;_ * &quot;-&quot;??_ ;_ @_ "/>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numFmt numFmtId="164" formatCode="[&lt;1000]##,##0;[&lt;1000000]#,###.0,&quot;K&quot;;#,###.0,,&quot;M&quot;"/>
    </dxf>
    <dxf>
      <numFmt numFmtId="164" formatCode="[&lt;1000]##,##0;[&lt;1000000]#,###.0,&quot;K&quot;;#,###.0,,&quot;M&quo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164" formatCode="[&lt;1000]##,##0;[&lt;1000000]#,###.0,&quot;K&quot;;#,###.0,,&quot;M&quot;"/>
    </dxf>
    <dxf>
      <numFmt numFmtId="164" formatCode="[&lt;1000]##,##0;[&lt;1000000]#,###.0,&quot;K&quot;;#,###.0,,&quot;M&quot;"/>
    </dxf>
    <dxf>
      <numFmt numFmtId="164" formatCode="[&lt;1000]##,##0;[&lt;1000000]#,###.0,&quot;K&quot;;#,###.0,,&quot;M&quo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numFmt numFmtId="164" formatCode="[&lt;1000]##,##0;[&lt;1000000]#,###.0,&quot;K&quot;;#,###.0,,&quot;M&quot;"/>
    </dxf>
    <dxf>
      <numFmt numFmtId="164" formatCode="[&lt;1000]##,##0;[&lt;1000000]#,###.0,&quot;K&quot;;#,###.0,,&quot;M&quot;"/>
    </dxf>
    <dxf>
      <numFmt numFmtId="164" formatCode="[&lt;1000]##,##0;[&lt;1000000]#,###.0,&quot;K&quot;;#,###.0,,&quot;M&quo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numFmt numFmtId="164" formatCode="[&lt;1000]##,##0;[&lt;1000000]#,###.0,&quot;K&quot;;#,###.0,,&quot;M&quot;"/>
    </dxf>
    <dxf>
      <numFmt numFmtId="164" formatCode="[&lt;1000]##,##0;[&lt;1000000]#,###.0,&quot;K&quot;;#,###.0,,&quot;M&quo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numFmt numFmtId="35" formatCode="_ * #,##0.00_ ;_ * \-#,##0.00_ ;_ * &quot;-&quot;??_ ;_ @_ "/>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numFmt numFmtId="164" formatCode="[&lt;1000]##,##0;[&lt;1000000]#,###.0,&quot;K&quot;;#,###.0,,&quot;M&quot;"/>
    </dxf>
    <dxf>
      <numFmt numFmtId="164" formatCode="[&lt;1000]##,##0;[&lt;1000000]#,###.0,&quot;K&quot;;#,###.0,,&quot;M&quo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164" formatCode="[&lt;1000]##,##0;[&lt;1000000]#,###.0,&quot;K&quot;;#,###.0,,&quot;M&quot;"/>
    </dxf>
    <dxf>
      <numFmt numFmtId="164" formatCode="[&lt;1000]##,##0;[&lt;1000000]#,###.0,&quot;K&quot;;#,###.0,,&quot;M&quot;"/>
    </dxf>
    <dxf>
      <numFmt numFmtId="164" formatCode="[&lt;1000]##,##0;[&lt;1000000]#,###.0,&quot;K&quot;;#,###.0,,&quot;M&quo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numFmt numFmtId="164" formatCode="[&lt;1000]##,##0;[&lt;1000000]#,###.0,&quot;K&quot;;#,###.0,,&quot;M&quot;"/>
    </dxf>
    <dxf>
      <numFmt numFmtId="164" formatCode="[&lt;1000]##,##0;[&lt;1000000]#,###.0,&quot;K&quot;;#,###.0,,&quot;M&quot;"/>
    </dxf>
    <dxf>
      <numFmt numFmtId="164" formatCode="[&lt;1000]##,##0;[&lt;1000000]#,###.0,&quot;K&quot;;#,###.0,,&quot;M&quo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numFmt numFmtId="164" formatCode="[&lt;1000]##,##0;[&lt;1000000]#,###.0,&quot;K&quot;;#,###.0,,&quot;M&quot;"/>
    </dxf>
    <dxf>
      <numFmt numFmtId="164" formatCode="[&lt;1000]##,##0;[&lt;1000000]#,###.0,&quot;K&quot;;#,###.0,,&quot;M&quo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numFmt numFmtId="35" formatCode="_ * #,##0.00_ ;_ * \-#,##0.00_ ;_ * &quot;-&quot;??_ ;_ @_ "/>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numFmt numFmtId="164" formatCode="[&lt;1000]##,##0;[&lt;1000000]#,###.0,&quot;K&quot;;#,###.0,,&quot;M&quot;"/>
    </dxf>
    <dxf>
      <numFmt numFmtId="164" formatCode="[&lt;1000]##,##0;[&lt;1000000]#,###.0,&quot;K&quot;;#,###.0,,&quot;M&quo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164" formatCode="[&lt;1000]##,##0;[&lt;1000000]#,###.0,&quot;K&quot;;#,###.0,,&quot;M&quot;"/>
    </dxf>
    <dxf>
      <numFmt numFmtId="164" formatCode="[&lt;1000]##,##0;[&lt;1000000]#,###.0,&quot;K&quot;;#,###.0,,&quot;M&quot;"/>
    </dxf>
    <dxf>
      <numFmt numFmtId="164" formatCode="[&lt;1000]##,##0;[&lt;1000000]#,###.0,&quot;K&quot;;#,###.0,,&quot;M&quo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numFmt numFmtId="164" formatCode="[&lt;1000]##,##0;[&lt;1000000]#,###.0,&quot;K&quot;;#,###.0,,&quot;M&quot;"/>
    </dxf>
    <dxf>
      <numFmt numFmtId="164" formatCode="[&lt;1000]##,##0;[&lt;1000000]#,###.0,&quot;K&quot;;#,###.0,,&quot;M&quot;"/>
    </dxf>
    <dxf>
      <numFmt numFmtId="164" formatCode="[&lt;1000]##,##0;[&lt;1000000]#,###.0,&quot;K&quot;;#,###.0,,&quot;M&quo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numFmt numFmtId="164" formatCode="[&lt;1000]##,##0;[&lt;1000000]#,###.0,&quot;K&quot;;#,###.0,,&quot;M&quot;"/>
    </dxf>
    <dxf>
      <numFmt numFmtId="164" formatCode="[&lt;1000]##,##0;[&lt;1000000]#,###.0,&quot;K&quot;;#,###.0,,&quot;M&quo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numFmt numFmtId="35" formatCode="_ * #,##0.00_ ;_ * \-#,##0.00_ ;_ * &quot;-&quot;??_ ;_ @_ "/>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numFmt numFmtId="164" formatCode="[&lt;1000]##,##0;[&lt;1000000]#,###.0,&quot;K&quot;;#,###.0,,&quot;M&quot;"/>
    </dxf>
    <dxf>
      <numFmt numFmtId="164" formatCode="[&lt;1000]##,##0;[&lt;1000000]#,###.0,&quot;K&quot;;#,###.0,,&quot;M&quo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164" formatCode="[&lt;1000]##,##0;[&lt;1000000]#,###.0,&quot;K&quot;;#,###.0,,&quot;M&quot;"/>
    </dxf>
    <dxf>
      <numFmt numFmtId="164" formatCode="[&lt;1000]##,##0;[&lt;1000000]#,###.0,&quot;K&quot;;#,###.0,,&quot;M&quot;"/>
    </dxf>
    <dxf>
      <numFmt numFmtId="164" formatCode="[&lt;1000]##,##0;[&lt;1000000]#,###.0,&quot;K&quot;;#,###.0,,&quot;M&quo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numFmt numFmtId="164" formatCode="[&lt;1000]##,##0;[&lt;1000000]#,###.0,&quot;K&quot;;#,###.0,,&quot;M&quot;"/>
    </dxf>
    <dxf>
      <numFmt numFmtId="164" formatCode="[&lt;1000]##,##0;[&lt;1000000]#,###.0,&quot;K&quot;;#,###.0,,&quot;M&quot;"/>
    </dxf>
    <dxf>
      <numFmt numFmtId="164" formatCode="[&lt;1000]##,##0;[&lt;1000000]#,###.0,&quot;K&quot;;#,###.0,,&quot;M&quo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numFmt numFmtId="164" formatCode="[&lt;1000]##,##0;[&lt;1000000]#,###.0,&quot;K&quot;;#,###.0,,&quot;M&quot;"/>
    </dxf>
    <dxf>
      <numFmt numFmtId="164" formatCode="[&lt;1000]##,##0;[&lt;1000000]#,###.0,&quot;K&quot;;#,###.0,,&quot;M&quo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numFmt numFmtId="35" formatCode="_ * #,##0.00_ ;_ * \-#,##0.00_ ;_ * &quot;-&quot;??_ ;_ @_ "/>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numFmt numFmtId="164" formatCode="[&lt;1000]##,##0;[&lt;1000000]#,###.0,&quot;K&quot;;#,###.0,,&quot;M&quot;"/>
    </dxf>
    <dxf>
      <numFmt numFmtId="164" formatCode="[&lt;1000]##,##0;[&lt;1000000]#,###.0,&quot;K&quot;;#,###.0,,&quot;M&quot;"/>
    </dxf>
    <dxf>
      <numFmt numFmtId="164" formatCode="[&lt;1000]##,##0;[&lt;1000000]#,###.0,&quot;K&quot;;#,###.0,,&quot;M&quo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4" formatCode="[&lt;1000]##,##0;[&lt;1000000]#,###.0,&quot;K&quot;;#,###.0,,&quot;M&quot;"/>
    </dxf>
    <dxf>
      <numFmt numFmtId="164" formatCode="[&lt;1000]##,##0;[&lt;1000000]#,###.0,&quot;K&quot;;#,###.0,,&quot;M&quot;"/>
    </dxf>
    <dxf>
      <numFmt numFmtId="164" formatCode="[&lt;1000]##,##0;[&lt;1000000]#,###.0,&quot;K&quot;;#,###.0,,&quot;M&quot;"/>
    </dxf>
    <dxf>
      <font>
        <sz val="11"/>
      </font>
    </dxf>
    <dxf>
      <font>
        <sz val="11"/>
      </font>
    </dxf>
    <dxf>
      <font>
        <sz val="11"/>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4" formatCode="[&lt;1000]##,##0;[&lt;1000000]#,###.0,&quot;K&quot;;#,###.0,,&quot;M&quot;"/>
    </dxf>
    <dxf>
      <numFmt numFmtId="164" formatCode="[&lt;1000]##,##0;[&lt;1000000]#,###.0,&quot;K&quot;;#,###.0,,&quot;M&quo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4" formatCode="[&lt;1000]##,##0;[&lt;1000000]#,###.0,&quot;K&quot;;#,###.0,,&quot;M&quot;"/>
    </dxf>
    <dxf>
      <numFmt numFmtId="164" formatCode="[&lt;1000]##,##0;[&lt;1000000]#,###.0,&quot;K&quot;;#,###.0,,&quot;M&quo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numFmt numFmtId="35" formatCode="_ * #,##0.00_ ;_ * \-#,##0.00_ ;_ * &quot;-&quot;??_ ;_ @_ "/>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numFmt numFmtId="19" formatCode="dd/mm/yyyy"/>
    </dxf>
  </dxfs>
  <tableStyles count="0" defaultTableStyle="TableStyleMedium2" defaultPivotStyle="PivotStyleLight16"/>
  <colors>
    <mruColors>
      <color rgb="FFFFFFCC"/>
      <color rgb="FFFFFF99"/>
      <color rgb="FFFFFF00"/>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[DashBoard.xlsx]Sheet3!PivotTable5</c:name>
    <c:fmtId val="0"/>
  </c:pivotSource>
  <c:chart>
    <c:autoTitleDeleted val="1"/>
    <c:pivotFmts>
      <c:pivotFmt>
        <c:idx val="0"/>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15521802378253"/>
          <c:y val="0.22729758463736338"/>
          <c:w val="0.65038282936526426"/>
          <c:h val="0.41406957041762182"/>
        </c:manualLayout>
      </c:layout>
      <c:bar3DChart>
        <c:barDir val="col"/>
        <c:grouping val="standard"/>
        <c:varyColors val="0"/>
        <c:ser>
          <c:idx val="0"/>
          <c:order val="0"/>
          <c:tx>
            <c:strRef>
              <c:f>Sheet3!$E$3</c:f>
              <c:strCache>
                <c:ptCount val="1"/>
                <c:pt idx="0">
                  <c:v>Total</c:v>
                </c:pt>
              </c:strCache>
            </c:strRef>
          </c:tx>
          <c:spPr>
            <a:solidFill>
              <a:srgbClr val="FFFF00"/>
            </a:solidFill>
            <a:ln>
              <a:noFill/>
            </a:ln>
            <a:effectLst/>
            <a:sp3d/>
          </c:spPr>
          <c:invertIfNegative val="0"/>
          <c:cat>
            <c:strRef>
              <c:f>Sheet3!$D$4:$D$9</c:f>
              <c:strCache>
                <c:ptCount val="5"/>
                <c:pt idx="0">
                  <c:v>Beauty</c:v>
                </c:pt>
                <c:pt idx="1">
                  <c:v>Books</c:v>
                </c:pt>
                <c:pt idx="2">
                  <c:v>Clothing</c:v>
                </c:pt>
                <c:pt idx="3">
                  <c:v>Electronics</c:v>
                </c:pt>
                <c:pt idx="4">
                  <c:v>Home &amp; Kitchen</c:v>
                </c:pt>
              </c:strCache>
            </c:strRef>
          </c:cat>
          <c:val>
            <c:numRef>
              <c:f>Sheet3!$E$4:$E$9</c:f>
              <c:numCache>
                <c:formatCode>[&lt;1000]##,##0;[&lt;1000000]#,###.0,"K";#,###.0,,"M"</c:formatCode>
                <c:ptCount val="5"/>
                <c:pt idx="0">
                  <c:v>4725207.6699999981</c:v>
                </c:pt>
                <c:pt idx="1">
                  <c:v>4878483.3200000022</c:v>
                </c:pt>
                <c:pt idx="2">
                  <c:v>4760149.9399999976</c:v>
                </c:pt>
                <c:pt idx="3">
                  <c:v>5603997.4699999988</c:v>
                </c:pt>
                <c:pt idx="4">
                  <c:v>4552419.8600000013</c:v>
                </c:pt>
              </c:numCache>
            </c:numRef>
          </c:val>
          <c:extLst>
            <c:ext xmlns:c16="http://schemas.microsoft.com/office/drawing/2014/chart" uri="{C3380CC4-5D6E-409C-BE32-E72D297353CC}">
              <c16:uniqueId val="{00000000-13B1-4BF4-B9E6-5BCF7D5251AE}"/>
            </c:ext>
          </c:extLst>
        </c:ser>
        <c:dLbls>
          <c:showLegendKey val="0"/>
          <c:showVal val="0"/>
          <c:showCatName val="0"/>
          <c:showSerName val="0"/>
          <c:showPercent val="0"/>
          <c:showBubbleSize val="0"/>
        </c:dLbls>
        <c:gapWidth val="150"/>
        <c:gapDepth val="0"/>
        <c:shape val="box"/>
        <c:axId val="1235479183"/>
        <c:axId val="2086469871"/>
        <c:axId val="1311796911"/>
      </c:bar3DChart>
      <c:catAx>
        <c:axId val="123547918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469871"/>
        <c:crosses val="autoZero"/>
        <c:auto val="1"/>
        <c:lblAlgn val="ctr"/>
        <c:lblOffset val="100"/>
        <c:noMultiLvlLbl val="0"/>
      </c:catAx>
      <c:valAx>
        <c:axId val="2086469871"/>
        <c:scaling>
          <c:orientation val="minMax"/>
        </c:scaling>
        <c:delete val="0"/>
        <c:axPos val="l"/>
        <c:numFmt formatCode="[&lt;1000]##,##0;[&lt;1000000]#,###.0,&quot;K&quot;;#,###.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479183"/>
        <c:crosses val="autoZero"/>
        <c:crossBetween val="between"/>
      </c:valAx>
      <c:serAx>
        <c:axId val="1311796911"/>
        <c:scaling>
          <c:orientation val="minMax"/>
        </c:scaling>
        <c:delete val="0"/>
        <c:axPos val="b"/>
        <c:majorTickMark val="out"/>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46987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9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[DashBoard.xlsx]Sheet3!PivotTable6</c:name>
    <c:fmtId val="39"/>
  </c:pivotSource>
  <c:chart>
    <c:autoTitleDeleted val="1"/>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Sheet3!$H$3</c:f>
              <c:strCache>
                <c:ptCount val="1"/>
                <c:pt idx="0">
                  <c:v>Total</c:v>
                </c:pt>
              </c:strCache>
            </c:strRef>
          </c:tx>
          <c:spPr>
            <a:solidFill>
              <a:schemeClr val="accent4">
                <a:lumMod val="60000"/>
                <a:lumOff val="40000"/>
              </a:schemeClr>
            </a:solidFill>
            <a:ln>
              <a:noFill/>
            </a:ln>
            <a:effectLst/>
          </c:spPr>
          <c:cat>
            <c:strRef>
              <c:f>Sheet3!$G$4:$G$29</c:f>
              <c:strCache>
                <c:ptCount val="25"/>
                <c:pt idx="0">
                  <c:v>Bedsheet</c:v>
                </c:pt>
                <c:pt idx="1">
                  <c:v>Comic Book</c:v>
                </c:pt>
                <c:pt idx="2">
                  <c:v>Cookbook</c:v>
                </c:pt>
                <c:pt idx="3">
                  <c:v>Cookware Set</c:v>
                </c:pt>
                <c:pt idx="4">
                  <c:v>Dress</c:v>
                </c:pt>
                <c:pt idx="5">
                  <c:v>Educational Book</c:v>
                </c:pt>
                <c:pt idx="6">
                  <c:v>Face Cream</c:v>
                </c:pt>
                <c:pt idx="7">
                  <c:v>Fiction Novel</c:v>
                </c:pt>
                <c:pt idx="8">
                  <c:v>Hair Dryer</c:v>
                </c:pt>
                <c:pt idx="9">
                  <c:v>Headphones</c:v>
                </c:pt>
                <c:pt idx="10">
                  <c:v>Jacket</c:v>
                </c:pt>
                <c:pt idx="11">
                  <c:v>Jeans</c:v>
                </c:pt>
                <c:pt idx="12">
                  <c:v>Laptop</c:v>
                </c:pt>
                <c:pt idx="13">
                  <c:v>Lipstick</c:v>
                </c:pt>
                <c:pt idx="14">
                  <c:v>Mixer Grinder</c:v>
                </c:pt>
                <c:pt idx="15">
                  <c:v>Perfume</c:v>
                </c:pt>
                <c:pt idx="16">
                  <c:v>Self-Help Book</c:v>
                </c:pt>
                <c:pt idx="17">
                  <c:v>Shampoo</c:v>
                </c:pt>
                <c:pt idx="18">
                  <c:v>Smartphone</c:v>
                </c:pt>
                <c:pt idx="19">
                  <c:v>Smartwatch</c:v>
                </c:pt>
                <c:pt idx="20">
                  <c:v>Sneakers</c:v>
                </c:pt>
                <c:pt idx="21">
                  <c:v>Sofa Cover</c:v>
                </c:pt>
                <c:pt idx="22">
                  <c:v>Table Lamp</c:v>
                </c:pt>
                <c:pt idx="23">
                  <c:v>Tablet</c:v>
                </c:pt>
                <c:pt idx="24">
                  <c:v>T-Shirt</c:v>
                </c:pt>
              </c:strCache>
            </c:strRef>
          </c:cat>
          <c:val>
            <c:numRef>
              <c:f>Sheet3!$H$4:$H$29</c:f>
              <c:numCache>
                <c:formatCode>[&lt;1000]##,##0;[&lt;1000000]#,###.0,"K";#,###.0,,"M"</c:formatCode>
                <c:ptCount val="25"/>
                <c:pt idx="0">
                  <c:v>653124.38</c:v>
                </c:pt>
                <c:pt idx="1">
                  <c:v>694922.28</c:v>
                </c:pt>
                <c:pt idx="2">
                  <c:v>788271.48999999976</c:v>
                </c:pt>
                <c:pt idx="3">
                  <c:v>878522.28000000014</c:v>
                </c:pt>
                <c:pt idx="4">
                  <c:v>718976.34</c:v>
                </c:pt>
                <c:pt idx="5">
                  <c:v>1601299.0399999998</c:v>
                </c:pt>
                <c:pt idx="6">
                  <c:v>1098733.74</c:v>
                </c:pt>
                <c:pt idx="7">
                  <c:v>975443.19999999972</c:v>
                </c:pt>
                <c:pt idx="8">
                  <c:v>861250.99000000011</c:v>
                </c:pt>
                <c:pt idx="9">
                  <c:v>1239609.42</c:v>
                </c:pt>
                <c:pt idx="10">
                  <c:v>993158.47999999986</c:v>
                </c:pt>
                <c:pt idx="11">
                  <c:v>1164057.7599999995</c:v>
                </c:pt>
                <c:pt idx="12">
                  <c:v>1288813.1500000001</c:v>
                </c:pt>
                <c:pt idx="13">
                  <c:v>924716.40000000014</c:v>
                </c:pt>
                <c:pt idx="14">
                  <c:v>797811.61</c:v>
                </c:pt>
                <c:pt idx="15">
                  <c:v>963979.13</c:v>
                </c:pt>
                <c:pt idx="16">
                  <c:v>818547.31000000029</c:v>
                </c:pt>
                <c:pt idx="17">
                  <c:v>876527.41</c:v>
                </c:pt>
                <c:pt idx="18">
                  <c:v>945466.08000000007</c:v>
                </c:pt>
                <c:pt idx="19">
                  <c:v>1228784.5700000003</c:v>
                </c:pt>
                <c:pt idx="20">
                  <c:v>953997.68</c:v>
                </c:pt>
                <c:pt idx="21">
                  <c:v>930417.38000000024</c:v>
                </c:pt>
                <c:pt idx="22">
                  <c:v>1292544.2100000004</c:v>
                </c:pt>
                <c:pt idx="23">
                  <c:v>901324.25</c:v>
                </c:pt>
                <c:pt idx="24">
                  <c:v>929959.68000000017</c:v>
                </c:pt>
              </c:numCache>
            </c:numRef>
          </c:val>
          <c:extLst>
            <c:ext xmlns:c16="http://schemas.microsoft.com/office/drawing/2014/chart" uri="{C3380CC4-5D6E-409C-BE32-E72D297353CC}">
              <c16:uniqueId val="{00000000-2AB5-4BFD-A9D0-FF532DD6044D}"/>
            </c:ext>
          </c:extLst>
        </c:ser>
        <c:dLbls>
          <c:showLegendKey val="0"/>
          <c:showVal val="0"/>
          <c:showCatName val="0"/>
          <c:showSerName val="0"/>
          <c:showPercent val="0"/>
          <c:showBubbleSize val="0"/>
        </c:dLbls>
        <c:axId val="1394888399"/>
        <c:axId val="1394886479"/>
      </c:areaChart>
      <c:catAx>
        <c:axId val="13948883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886479"/>
        <c:crosses val="autoZero"/>
        <c:auto val="1"/>
        <c:lblAlgn val="ctr"/>
        <c:lblOffset val="100"/>
        <c:noMultiLvlLbl val="0"/>
      </c:catAx>
      <c:valAx>
        <c:axId val="1394886479"/>
        <c:scaling>
          <c:orientation val="minMax"/>
        </c:scaling>
        <c:delete val="0"/>
        <c:axPos val="l"/>
        <c:majorGridlines>
          <c:spPr>
            <a:ln w="9525" cap="flat" cmpd="sng" algn="ctr">
              <a:solidFill>
                <a:schemeClr val="tx1">
                  <a:lumMod val="15000"/>
                  <a:lumOff val="85000"/>
                </a:schemeClr>
              </a:solidFill>
              <a:round/>
            </a:ln>
            <a:effectLst/>
          </c:spPr>
        </c:majorGridlines>
        <c:numFmt formatCode="[&lt;1000]##,##0;[&lt;1000000]#,###.0,&quot;K&quot;;#,###.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8883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FFF9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[DashBoard.xlsx]Sheet3!PivotTable7</c:name>
    <c:fmtId val="15"/>
  </c:pivotSource>
  <c:chart>
    <c:autoTitleDeleted val="1"/>
    <c:pivotFmts>
      <c:pivotFmt>
        <c:idx val="0"/>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19515207657866"/>
          <c:y val="6.6095303069065831E-2"/>
          <c:w val="0.845350990217132"/>
          <c:h val="0.82326476632281431"/>
        </c:manualLayout>
      </c:layout>
      <c:lineChart>
        <c:grouping val="stacked"/>
        <c:varyColors val="0"/>
        <c:ser>
          <c:idx val="0"/>
          <c:order val="0"/>
          <c:tx>
            <c:strRef>
              <c:f>Sheet3!$K$3</c:f>
              <c:strCache>
                <c:ptCount val="1"/>
                <c:pt idx="0">
                  <c:v>Total</c:v>
                </c:pt>
              </c:strCache>
            </c:strRef>
          </c:tx>
          <c:spPr>
            <a:ln w="28575" cap="rnd">
              <a:solidFill>
                <a:srgbClr val="FF0000"/>
              </a:solidFill>
              <a:round/>
            </a:ln>
            <a:effectLst/>
          </c:spPr>
          <c:marker>
            <c:symbol val="none"/>
          </c:marker>
          <c:cat>
            <c:strRef>
              <c:f>Sheet3!$J$4:$J$16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Sheet3!$K$4:$K$16</c:f>
              <c:numCache>
                <c:formatCode>General</c:formatCode>
                <c:ptCount val="12"/>
                <c:pt idx="0">
                  <c:v>2023756.1000000008</c:v>
                </c:pt>
                <c:pt idx="1">
                  <c:v>1812859.9899999998</c:v>
                </c:pt>
                <c:pt idx="2">
                  <c:v>2070636.2799999993</c:v>
                </c:pt>
                <c:pt idx="3">
                  <c:v>2121242.2800000007</c:v>
                </c:pt>
                <c:pt idx="4">
                  <c:v>2318372.44</c:v>
                </c:pt>
                <c:pt idx="5">
                  <c:v>1880796.43</c:v>
                </c:pt>
                <c:pt idx="6">
                  <c:v>2541971.4200000004</c:v>
                </c:pt>
                <c:pt idx="7">
                  <c:v>1837971.5999999992</c:v>
                </c:pt>
                <c:pt idx="8">
                  <c:v>2023175.75</c:v>
                </c:pt>
                <c:pt idx="9">
                  <c:v>2049290.0100000002</c:v>
                </c:pt>
                <c:pt idx="10">
                  <c:v>1801502.27</c:v>
                </c:pt>
                <c:pt idx="11">
                  <c:v>2038683.6899999992</c:v>
                </c:pt>
              </c:numCache>
            </c:numRef>
          </c:val>
          <c:smooth val="1"/>
          <c:extLst>
            <c:ext xmlns:c16="http://schemas.microsoft.com/office/drawing/2014/chart" uri="{C3380CC4-5D6E-409C-BE32-E72D297353CC}">
              <c16:uniqueId val="{00000000-8C0B-42A8-8B3C-60FADC11ADF6}"/>
            </c:ext>
          </c:extLst>
        </c:ser>
        <c:dLbls>
          <c:showLegendKey val="0"/>
          <c:showVal val="0"/>
          <c:showCatName val="0"/>
          <c:showSerName val="0"/>
          <c:showPercent val="0"/>
          <c:showBubbleSize val="0"/>
        </c:dLbls>
        <c:smooth val="0"/>
        <c:axId val="1646189503"/>
        <c:axId val="1646186623"/>
      </c:lineChart>
      <c:catAx>
        <c:axId val="16461895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186623"/>
        <c:crosses val="autoZero"/>
        <c:auto val="1"/>
        <c:lblAlgn val="ctr"/>
        <c:lblOffset val="100"/>
        <c:noMultiLvlLbl val="0"/>
      </c:catAx>
      <c:valAx>
        <c:axId val="1646186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189503"/>
        <c:crosses val="autoZero"/>
        <c:crossBetween val="between"/>
      </c:valAx>
      <c:spPr>
        <a:noFill/>
        <a:ln>
          <a:solidFill>
            <a:srgbClr val="FFFF99"/>
          </a:solid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FFF99"/>
    </a:solidFill>
    <a:ln w="9525" cap="flat" cmpd="sng" algn="ctr">
      <a:solidFill>
        <a:srgbClr val="FFFF9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[DashBoard.xlsx]Sheet3!PivotTable8</c:name>
    <c:fmtId val="7"/>
  </c:pivotSource>
  <c:chart>
    <c:autoTitleDeleted val="1"/>
    <c:pivotFmts>
      <c:pivotFmt>
        <c:idx val="0"/>
        <c:spPr>
          <a:solidFill>
            <a:schemeClr val="accent4">
              <a:lumMod val="40000"/>
              <a:lumOff val="60000"/>
            </a:schemeClr>
          </a:solidFill>
          <a:ln>
            <a:solidFill>
              <a:schemeClr val="tx1"/>
            </a:solid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solidFill>
              <a:schemeClr val="tx1"/>
            </a:solid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4F49C7F5-0B35-4CA4-A31A-8BED25D6B703}" type="VALUE">
                  <a:rPr lang="en-US" sz="1000">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FF0000"/>
          </a:solidFill>
          <a:ln>
            <a:solidFill>
              <a:schemeClr val="tx1"/>
            </a:solid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4F49C7F5-0B35-4CA4-A31A-8BED25D6B703}" type="VALUE">
                  <a:rPr lang="en-US" sz="1000">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Sheet3!$N$3</c:f>
              <c:strCache>
                <c:ptCount val="1"/>
                <c:pt idx="0">
                  <c:v>Total</c:v>
                </c:pt>
              </c:strCache>
            </c:strRef>
          </c:tx>
          <c:spPr>
            <a:solidFill>
              <a:schemeClr val="accent4">
                <a:lumMod val="40000"/>
                <a:lumOff val="60000"/>
              </a:schemeClr>
            </a:solidFill>
            <a:ln>
              <a:solidFill>
                <a:schemeClr val="tx1"/>
              </a:solidFill>
            </a:ln>
          </c:spPr>
          <c:dPt>
            <c:idx val="0"/>
            <c:bubble3D val="0"/>
            <c:spPr>
              <a:solidFill>
                <a:srgbClr val="FF0000"/>
              </a:solidFill>
              <a:ln>
                <a:solidFill>
                  <a:schemeClr val="tx1"/>
                </a:solidFill>
              </a:ln>
              <a:effectLst>
                <a:outerShdw blurRad="317500" algn="ctr" rotWithShape="0">
                  <a:prstClr val="black">
                    <a:alpha val="25000"/>
                  </a:prstClr>
                </a:outerShdw>
              </a:effectLst>
            </c:spPr>
            <c:extLst>
              <c:ext xmlns:c16="http://schemas.microsoft.com/office/drawing/2014/chart" uri="{C3380CC4-5D6E-409C-BE32-E72D297353CC}">
                <c16:uniqueId val="{00000003-1474-4CD5-B478-75F686A6B46C}"/>
              </c:ext>
            </c:extLst>
          </c:dPt>
          <c:dPt>
            <c:idx val="1"/>
            <c:bubble3D val="0"/>
            <c:explosion val="5"/>
            <c:spPr>
              <a:solidFill>
                <a:srgbClr val="FF0000"/>
              </a:solidFill>
              <a:ln>
                <a:solidFill>
                  <a:schemeClr val="tx1"/>
                </a:solidFill>
              </a:ln>
              <a:effectLst>
                <a:outerShdw blurRad="317500" algn="ctr" rotWithShape="0">
                  <a:prstClr val="black">
                    <a:alpha val="25000"/>
                  </a:prstClr>
                </a:outerShdw>
              </a:effectLst>
            </c:spPr>
            <c:extLst>
              <c:ext xmlns:c16="http://schemas.microsoft.com/office/drawing/2014/chart" uri="{C3380CC4-5D6E-409C-BE32-E72D297353CC}">
                <c16:uniqueId val="{00000002-1474-4CD5-B478-75F686A6B46C}"/>
              </c:ext>
            </c:extLst>
          </c:dPt>
          <c:dLbls>
            <c:dLbl>
              <c:idx val="0"/>
              <c:tx>
                <c:rich>
                  <a:bodyPr/>
                  <a:lstStyle/>
                  <a:p>
                    <a:fld id="{4F49C7F5-0B35-4CA4-A31A-8BED25D6B703}" type="VALUE">
                      <a:rPr lang="en-US" sz="1000">
                        <a:solidFill>
                          <a:schemeClr val="tx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474-4CD5-B478-75F686A6B46C}"/>
                </c:ext>
              </c:extLst>
            </c:dLbl>
            <c:dLbl>
              <c:idx val="1"/>
              <c:tx>
                <c:rich>
                  <a:bodyPr/>
                  <a:lstStyle/>
                  <a:p>
                    <a:fld id="{4F49C7F5-0B35-4CA4-A31A-8BED25D6B703}" type="VALUE">
                      <a:rPr lang="en-US" sz="1000">
                        <a:solidFill>
                          <a:schemeClr val="tx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1474-4CD5-B478-75F686A6B46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Sheet3!$M$4:$M$6</c:f>
              <c:strCache>
                <c:ptCount val="2"/>
                <c:pt idx="0">
                  <c:v>2024</c:v>
                </c:pt>
                <c:pt idx="1">
                  <c:v>2025</c:v>
                </c:pt>
              </c:strCache>
            </c:strRef>
          </c:cat>
          <c:val>
            <c:numRef>
              <c:f>Sheet3!$N$4:$N$6</c:f>
              <c:numCache>
                <c:formatCode>[&lt;1000]##,##0;[&lt;1000000]#,###.0,"K";#,###.0,,"M"</c:formatCode>
                <c:ptCount val="2"/>
                <c:pt idx="0">
                  <c:v>21916753.390000004</c:v>
                </c:pt>
                <c:pt idx="1">
                  <c:v>2603504.8699999996</c:v>
                </c:pt>
              </c:numCache>
            </c:numRef>
          </c:val>
          <c:extLst>
            <c:ext xmlns:c16="http://schemas.microsoft.com/office/drawing/2014/chart" uri="{C3380CC4-5D6E-409C-BE32-E72D297353CC}">
              <c16:uniqueId val="{00000000-1474-4CD5-B478-75F686A6B46C}"/>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[DashBoard.xlsx]Sheet3!PivotTable9</c:name>
    <c:fmtId val="17"/>
  </c:pivotSource>
  <c:chart>
    <c:autoTitleDeleted val="0"/>
    <c:pivotFmts>
      <c:pivotFmt>
        <c:idx val="0"/>
        <c:spPr>
          <a:ln w="28575" cap="rnd">
            <a:solidFill>
              <a:srgbClr val="FF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0000"/>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Sheet3!$Q$3:$Q$4</c:f>
              <c:strCache>
                <c:ptCount val="1"/>
                <c:pt idx="0">
                  <c:v>2024</c:v>
                </c:pt>
              </c:strCache>
            </c:strRef>
          </c:tx>
          <c:spPr>
            <a:ln w="28575" cap="rnd">
              <a:solidFill>
                <a:srgbClr val="FF0000"/>
              </a:solidFill>
              <a:round/>
            </a:ln>
            <a:effectLst/>
          </c:spPr>
          <c:marker>
            <c:symbol val="circle"/>
            <c:size val="5"/>
            <c:spPr>
              <a:solidFill>
                <a:schemeClr val="accent1"/>
              </a:solidFill>
              <a:ln w="9525">
                <a:solidFill>
                  <a:schemeClr val="accent1"/>
                </a:solidFill>
              </a:ln>
              <a:effectLst/>
            </c:spPr>
          </c:marker>
          <c:cat>
            <c:strRef>
              <c:f>Sheet3!$P$5:$P$10</c:f>
              <c:strCache>
                <c:ptCount val="5"/>
                <c:pt idx="0">
                  <c:v>Beauty</c:v>
                </c:pt>
                <c:pt idx="1">
                  <c:v>Books</c:v>
                </c:pt>
                <c:pt idx="2">
                  <c:v>Clothing</c:v>
                </c:pt>
                <c:pt idx="3">
                  <c:v>Electronics</c:v>
                </c:pt>
                <c:pt idx="4">
                  <c:v>Home &amp; Kitchen</c:v>
                </c:pt>
              </c:strCache>
            </c:strRef>
          </c:cat>
          <c:val>
            <c:numRef>
              <c:f>Sheet3!$Q$5:$Q$10</c:f>
              <c:numCache>
                <c:formatCode>[&lt;1000]##,##0;[&lt;1000000]#,###.0,"K";#,###.0,,"M"</c:formatCode>
                <c:ptCount val="5"/>
                <c:pt idx="0">
                  <c:v>518</c:v>
                </c:pt>
                <c:pt idx="1">
                  <c:v>599</c:v>
                </c:pt>
                <c:pt idx="2">
                  <c:v>545</c:v>
                </c:pt>
                <c:pt idx="3">
                  <c:v>580</c:v>
                </c:pt>
                <c:pt idx="4">
                  <c:v>519</c:v>
                </c:pt>
              </c:numCache>
            </c:numRef>
          </c:val>
          <c:smooth val="1"/>
          <c:extLst>
            <c:ext xmlns:c16="http://schemas.microsoft.com/office/drawing/2014/chart" uri="{C3380CC4-5D6E-409C-BE32-E72D297353CC}">
              <c16:uniqueId val="{00000000-3E47-4D19-94A1-CD4C44616478}"/>
            </c:ext>
          </c:extLst>
        </c:ser>
        <c:ser>
          <c:idx val="1"/>
          <c:order val="1"/>
          <c:tx>
            <c:strRef>
              <c:f>Sheet3!$R$3:$R$4</c:f>
              <c:strCache>
                <c:ptCount val="1"/>
                <c:pt idx="0">
                  <c:v>2025</c:v>
                </c:pt>
              </c:strCache>
            </c:strRef>
          </c:tx>
          <c:spPr>
            <a:ln w="28575" cap="rnd">
              <a:solidFill>
                <a:srgbClr val="FF0000"/>
              </a:solidFill>
              <a:round/>
            </a:ln>
            <a:effectLst/>
          </c:spPr>
          <c:marker>
            <c:symbol val="circle"/>
            <c:size val="5"/>
            <c:spPr>
              <a:solidFill>
                <a:schemeClr val="accent2"/>
              </a:solidFill>
              <a:ln w="9525">
                <a:solidFill>
                  <a:schemeClr val="accent2"/>
                </a:solidFill>
              </a:ln>
              <a:effectLst/>
            </c:spPr>
          </c:marker>
          <c:cat>
            <c:strRef>
              <c:f>Sheet3!$P$5:$P$10</c:f>
              <c:strCache>
                <c:ptCount val="5"/>
                <c:pt idx="0">
                  <c:v>Beauty</c:v>
                </c:pt>
                <c:pt idx="1">
                  <c:v>Books</c:v>
                </c:pt>
                <c:pt idx="2">
                  <c:v>Clothing</c:v>
                </c:pt>
                <c:pt idx="3">
                  <c:v>Electronics</c:v>
                </c:pt>
                <c:pt idx="4">
                  <c:v>Home &amp; Kitchen</c:v>
                </c:pt>
              </c:strCache>
            </c:strRef>
          </c:cat>
          <c:val>
            <c:numRef>
              <c:f>Sheet3!$R$5:$R$10</c:f>
              <c:numCache>
                <c:formatCode>[&lt;1000]##,##0;[&lt;1000000]#,###.0,"K";#,###.0,,"M"</c:formatCode>
                <c:ptCount val="5"/>
                <c:pt idx="0">
                  <c:v>65</c:v>
                </c:pt>
                <c:pt idx="1">
                  <c:v>54</c:v>
                </c:pt>
                <c:pt idx="2">
                  <c:v>64</c:v>
                </c:pt>
                <c:pt idx="3">
                  <c:v>93</c:v>
                </c:pt>
                <c:pt idx="4">
                  <c:v>60</c:v>
                </c:pt>
              </c:numCache>
            </c:numRef>
          </c:val>
          <c:smooth val="0"/>
          <c:extLst>
            <c:ext xmlns:c16="http://schemas.microsoft.com/office/drawing/2014/chart" uri="{C3380CC4-5D6E-409C-BE32-E72D297353CC}">
              <c16:uniqueId val="{00000010-2A3D-4156-9F40-B36C5720797B}"/>
            </c:ext>
          </c:extLst>
        </c:ser>
        <c:dLbls>
          <c:showLegendKey val="0"/>
          <c:showVal val="0"/>
          <c:showCatName val="0"/>
          <c:showSerName val="0"/>
          <c:showPercent val="0"/>
          <c:showBubbleSize val="0"/>
        </c:dLbls>
        <c:marker val="1"/>
        <c:smooth val="0"/>
        <c:axId val="1634911263"/>
        <c:axId val="1634912223"/>
      </c:lineChart>
      <c:catAx>
        <c:axId val="1634911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912223"/>
        <c:crosses val="autoZero"/>
        <c:auto val="1"/>
        <c:lblAlgn val="ctr"/>
        <c:lblOffset val="100"/>
        <c:noMultiLvlLbl val="0"/>
      </c:catAx>
      <c:valAx>
        <c:axId val="1634912223"/>
        <c:scaling>
          <c:orientation val="minMax"/>
        </c:scaling>
        <c:delete val="0"/>
        <c:axPos val="l"/>
        <c:majorGridlines>
          <c:spPr>
            <a:ln w="9525" cap="flat" cmpd="sng" algn="ctr">
              <a:solidFill>
                <a:schemeClr val="tx1">
                  <a:lumMod val="15000"/>
                  <a:lumOff val="85000"/>
                </a:schemeClr>
              </a:solidFill>
              <a:round/>
            </a:ln>
            <a:effectLst/>
          </c:spPr>
        </c:majorGridlines>
        <c:numFmt formatCode="[&lt;1000]##,##0;[&lt;1000000]#,###.0,&quot;K&quot;;#,###.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91126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FFFCC"/>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[DashBoard.xlsx]Sheet3!PivotTable5</c:name>
    <c:fmtId val="8"/>
  </c:pivotSource>
  <c:chart>
    <c:autoTitleDeleted val="1"/>
    <c:pivotFmts>
      <c:pivotFmt>
        <c:idx val="0"/>
        <c:spPr>
          <a:solidFill>
            <a:srgbClr val="FFFF00"/>
          </a:soli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15521802378253"/>
          <c:y val="6.8806886850472523E-2"/>
          <c:w val="0.76980526385077319"/>
          <c:h val="0.74590894360053517"/>
        </c:manualLayout>
      </c:layout>
      <c:bar3DChart>
        <c:barDir val="col"/>
        <c:grouping val="standard"/>
        <c:varyColors val="0"/>
        <c:ser>
          <c:idx val="0"/>
          <c:order val="0"/>
          <c:tx>
            <c:strRef>
              <c:f>Sheet3!$E$3</c:f>
              <c:strCache>
                <c:ptCount val="1"/>
                <c:pt idx="0">
                  <c:v>Total</c:v>
                </c:pt>
              </c:strCache>
            </c:strRef>
          </c:tx>
          <c:spPr>
            <a:solidFill>
              <a:srgbClr val="FF0000"/>
            </a:solidFill>
            <a:ln>
              <a:noFill/>
            </a:ln>
            <a:effectLst/>
            <a:sp3d/>
          </c:spPr>
          <c:invertIfNegative val="0"/>
          <c:cat>
            <c:strRef>
              <c:f>Sheet3!$D$4:$D$9</c:f>
              <c:strCache>
                <c:ptCount val="5"/>
                <c:pt idx="0">
                  <c:v>Beauty</c:v>
                </c:pt>
                <c:pt idx="1">
                  <c:v>Books</c:v>
                </c:pt>
                <c:pt idx="2">
                  <c:v>Clothing</c:v>
                </c:pt>
                <c:pt idx="3">
                  <c:v>Electronics</c:v>
                </c:pt>
                <c:pt idx="4">
                  <c:v>Home &amp; Kitchen</c:v>
                </c:pt>
              </c:strCache>
            </c:strRef>
          </c:cat>
          <c:val>
            <c:numRef>
              <c:f>Sheet3!$E$4:$E$9</c:f>
              <c:numCache>
                <c:formatCode>[&lt;1000]##,##0;[&lt;1000000]#,###.0,"K";#,###.0,,"M"</c:formatCode>
                <c:ptCount val="5"/>
                <c:pt idx="0">
                  <c:v>4725207.6699999981</c:v>
                </c:pt>
                <c:pt idx="1">
                  <c:v>4878483.3200000022</c:v>
                </c:pt>
                <c:pt idx="2">
                  <c:v>4760149.9399999976</c:v>
                </c:pt>
                <c:pt idx="3">
                  <c:v>5603997.4699999988</c:v>
                </c:pt>
                <c:pt idx="4">
                  <c:v>4552419.8600000013</c:v>
                </c:pt>
              </c:numCache>
            </c:numRef>
          </c:val>
          <c:extLst>
            <c:ext xmlns:c16="http://schemas.microsoft.com/office/drawing/2014/chart" uri="{C3380CC4-5D6E-409C-BE32-E72D297353CC}">
              <c16:uniqueId val="{00000000-AB6B-4356-A789-7CE26FCE0446}"/>
            </c:ext>
          </c:extLst>
        </c:ser>
        <c:dLbls>
          <c:showLegendKey val="0"/>
          <c:showVal val="0"/>
          <c:showCatName val="0"/>
          <c:showSerName val="0"/>
          <c:showPercent val="0"/>
          <c:showBubbleSize val="0"/>
        </c:dLbls>
        <c:gapWidth val="150"/>
        <c:gapDepth val="0"/>
        <c:shape val="box"/>
        <c:axId val="1235479183"/>
        <c:axId val="2086469871"/>
        <c:axId val="1311796911"/>
      </c:bar3DChart>
      <c:catAx>
        <c:axId val="123547918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469871"/>
        <c:crosses val="autoZero"/>
        <c:auto val="1"/>
        <c:lblAlgn val="ctr"/>
        <c:lblOffset val="100"/>
        <c:noMultiLvlLbl val="0"/>
      </c:catAx>
      <c:valAx>
        <c:axId val="2086469871"/>
        <c:scaling>
          <c:orientation val="minMax"/>
        </c:scaling>
        <c:delete val="0"/>
        <c:axPos val="l"/>
        <c:numFmt formatCode="[&lt;1000]##,##0;[&lt;1000000]#,###.0,&quot;K&quot;;#,###.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479183"/>
        <c:crosses val="autoZero"/>
        <c:crossBetween val="between"/>
      </c:valAx>
      <c:serAx>
        <c:axId val="1311796911"/>
        <c:scaling>
          <c:orientation val="minMax"/>
        </c:scaling>
        <c:delete val="0"/>
        <c:axPos val="b"/>
        <c:majorTickMark val="out"/>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469871"/>
        <c:crosses val="autoZero"/>
      </c:serAx>
      <c:spPr>
        <a:noFill/>
        <a:ln>
          <a:solidFill>
            <a:schemeClr val="accent4">
              <a:lumMod val="20000"/>
              <a:lumOff val="8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99"/>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[DashBoard.xlsx]Sheet3!PivotTable6</c:name>
    <c:fmtId val="41"/>
  </c:pivotSource>
  <c:chart>
    <c:autoTitleDeleted val="1"/>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2683837604585"/>
          <c:y val="5.4022428008444048E-2"/>
          <c:w val="0.84413651203459839"/>
          <c:h val="0.59913579583311904"/>
        </c:manualLayout>
      </c:layout>
      <c:areaChart>
        <c:grouping val="standard"/>
        <c:varyColors val="0"/>
        <c:ser>
          <c:idx val="0"/>
          <c:order val="0"/>
          <c:tx>
            <c:strRef>
              <c:f>Sheet3!$H$3</c:f>
              <c:strCache>
                <c:ptCount val="1"/>
                <c:pt idx="0">
                  <c:v>Total</c:v>
                </c:pt>
              </c:strCache>
            </c:strRef>
          </c:tx>
          <c:spPr>
            <a:solidFill>
              <a:schemeClr val="accent4">
                <a:lumMod val="60000"/>
                <a:lumOff val="40000"/>
              </a:schemeClr>
            </a:solidFill>
            <a:ln>
              <a:noFill/>
            </a:ln>
            <a:effectLst/>
          </c:spPr>
          <c:cat>
            <c:strRef>
              <c:f>Sheet3!$G$4:$G$29</c:f>
              <c:strCache>
                <c:ptCount val="25"/>
                <c:pt idx="0">
                  <c:v>Bedsheet</c:v>
                </c:pt>
                <c:pt idx="1">
                  <c:v>Comic Book</c:v>
                </c:pt>
                <c:pt idx="2">
                  <c:v>Cookbook</c:v>
                </c:pt>
                <c:pt idx="3">
                  <c:v>Cookware Set</c:v>
                </c:pt>
                <c:pt idx="4">
                  <c:v>Dress</c:v>
                </c:pt>
                <c:pt idx="5">
                  <c:v>Educational Book</c:v>
                </c:pt>
                <c:pt idx="6">
                  <c:v>Face Cream</c:v>
                </c:pt>
                <c:pt idx="7">
                  <c:v>Fiction Novel</c:v>
                </c:pt>
                <c:pt idx="8">
                  <c:v>Hair Dryer</c:v>
                </c:pt>
                <c:pt idx="9">
                  <c:v>Headphones</c:v>
                </c:pt>
                <c:pt idx="10">
                  <c:v>Jacket</c:v>
                </c:pt>
                <c:pt idx="11">
                  <c:v>Jeans</c:v>
                </c:pt>
                <c:pt idx="12">
                  <c:v>Laptop</c:v>
                </c:pt>
                <c:pt idx="13">
                  <c:v>Lipstick</c:v>
                </c:pt>
                <c:pt idx="14">
                  <c:v>Mixer Grinder</c:v>
                </c:pt>
                <c:pt idx="15">
                  <c:v>Perfume</c:v>
                </c:pt>
                <c:pt idx="16">
                  <c:v>Self-Help Book</c:v>
                </c:pt>
                <c:pt idx="17">
                  <c:v>Shampoo</c:v>
                </c:pt>
                <c:pt idx="18">
                  <c:v>Smartphone</c:v>
                </c:pt>
                <c:pt idx="19">
                  <c:v>Smartwatch</c:v>
                </c:pt>
                <c:pt idx="20">
                  <c:v>Sneakers</c:v>
                </c:pt>
                <c:pt idx="21">
                  <c:v>Sofa Cover</c:v>
                </c:pt>
                <c:pt idx="22">
                  <c:v>Table Lamp</c:v>
                </c:pt>
                <c:pt idx="23">
                  <c:v>Tablet</c:v>
                </c:pt>
                <c:pt idx="24">
                  <c:v>T-Shirt</c:v>
                </c:pt>
              </c:strCache>
            </c:strRef>
          </c:cat>
          <c:val>
            <c:numRef>
              <c:f>Sheet3!$H$4:$H$29</c:f>
              <c:numCache>
                <c:formatCode>[&lt;1000]##,##0;[&lt;1000000]#,###.0,"K";#,###.0,,"M"</c:formatCode>
                <c:ptCount val="25"/>
                <c:pt idx="0">
                  <c:v>653124.38</c:v>
                </c:pt>
                <c:pt idx="1">
                  <c:v>694922.28</c:v>
                </c:pt>
                <c:pt idx="2">
                  <c:v>788271.48999999976</c:v>
                </c:pt>
                <c:pt idx="3">
                  <c:v>878522.28000000014</c:v>
                </c:pt>
                <c:pt idx="4">
                  <c:v>718976.34</c:v>
                </c:pt>
                <c:pt idx="5">
                  <c:v>1601299.0399999998</c:v>
                </c:pt>
                <c:pt idx="6">
                  <c:v>1098733.74</c:v>
                </c:pt>
                <c:pt idx="7">
                  <c:v>975443.19999999972</c:v>
                </c:pt>
                <c:pt idx="8">
                  <c:v>861250.99000000011</c:v>
                </c:pt>
                <c:pt idx="9">
                  <c:v>1239609.42</c:v>
                </c:pt>
                <c:pt idx="10">
                  <c:v>993158.47999999986</c:v>
                </c:pt>
                <c:pt idx="11">
                  <c:v>1164057.7599999995</c:v>
                </c:pt>
                <c:pt idx="12">
                  <c:v>1288813.1500000001</c:v>
                </c:pt>
                <c:pt idx="13">
                  <c:v>924716.40000000014</c:v>
                </c:pt>
                <c:pt idx="14">
                  <c:v>797811.61</c:v>
                </c:pt>
                <c:pt idx="15">
                  <c:v>963979.13</c:v>
                </c:pt>
                <c:pt idx="16">
                  <c:v>818547.31000000029</c:v>
                </c:pt>
                <c:pt idx="17">
                  <c:v>876527.41</c:v>
                </c:pt>
                <c:pt idx="18">
                  <c:v>945466.08000000007</c:v>
                </c:pt>
                <c:pt idx="19">
                  <c:v>1228784.5700000003</c:v>
                </c:pt>
                <c:pt idx="20">
                  <c:v>953997.68</c:v>
                </c:pt>
                <c:pt idx="21">
                  <c:v>930417.38000000024</c:v>
                </c:pt>
                <c:pt idx="22">
                  <c:v>1292544.2100000004</c:v>
                </c:pt>
                <c:pt idx="23">
                  <c:v>901324.25</c:v>
                </c:pt>
                <c:pt idx="24">
                  <c:v>929959.68000000017</c:v>
                </c:pt>
              </c:numCache>
            </c:numRef>
          </c:val>
          <c:extLst>
            <c:ext xmlns:c16="http://schemas.microsoft.com/office/drawing/2014/chart" uri="{C3380CC4-5D6E-409C-BE32-E72D297353CC}">
              <c16:uniqueId val="{00000000-E055-49A4-AE18-623A4181B225}"/>
            </c:ext>
          </c:extLst>
        </c:ser>
        <c:dLbls>
          <c:showLegendKey val="0"/>
          <c:showVal val="0"/>
          <c:showCatName val="0"/>
          <c:showSerName val="0"/>
          <c:showPercent val="0"/>
          <c:showBubbleSize val="0"/>
        </c:dLbls>
        <c:axId val="1394888399"/>
        <c:axId val="1394886479"/>
      </c:areaChart>
      <c:catAx>
        <c:axId val="13948883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886479"/>
        <c:crosses val="autoZero"/>
        <c:auto val="1"/>
        <c:lblAlgn val="ctr"/>
        <c:lblOffset val="100"/>
        <c:noMultiLvlLbl val="0"/>
      </c:catAx>
      <c:valAx>
        <c:axId val="1394886479"/>
        <c:scaling>
          <c:orientation val="minMax"/>
        </c:scaling>
        <c:delete val="0"/>
        <c:axPos val="l"/>
        <c:majorGridlines>
          <c:spPr>
            <a:ln w="9525" cap="flat" cmpd="sng" algn="ctr">
              <a:solidFill>
                <a:schemeClr val="tx1">
                  <a:lumMod val="15000"/>
                  <a:lumOff val="85000"/>
                </a:schemeClr>
              </a:solidFill>
              <a:round/>
            </a:ln>
            <a:effectLst/>
          </c:spPr>
        </c:majorGridlines>
        <c:numFmt formatCode="[&lt;1000]##,##0;[&lt;1000000]#,###.0,&quot;K&quot;;#,###.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8883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FFF99"/>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[DashBoard.xlsx]Sheet3!PivotTable9</c:name>
    <c:fmtId val="19"/>
  </c:pivotSource>
  <c:chart>
    <c:autoTitleDeleted val="1"/>
    <c:pivotFmts>
      <c:pivotFmt>
        <c:idx val="0"/>
        <c:spPr>
          <a:solidFill>
            <a:schemeClr val="accent1"/>
          </a:solidFill>
          <a:ln w="28575" cap="rnd">
            <a:solidFill>
              <a:srgbClr val="FF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FF00">
                <a:alpha val="98000"/>
              </a:srgbClr>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alpha val="98000"/>
              </a:srgbClr>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FF00">
                <a:alpha val="98000"/>
              </a:srgbClr>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FFFF00">
                <a:alpha val="98000"/>
              </a:srgbClr>
            </a:solidFill>
            <a:round/>
          </a:ln>
          <a:effectLst/>
        </c:spPr>
        <c:marker>
          <c:symbol val="circle"/>
          <c:size val="5"/>
          <c:spPr>
            <a:solidFill>
              <a:schemeClr val="accent2"/>
            </a:solidFill>
            <a:ln w="9525">
              <a:solidFill>
                <a:schemeClr val="accent2"/>
              </a:solidFill>
            </a:ln>
            <a:effectLst/>
          </c:spPr>
        </c:marker>
      </c:pivotFmt>
      <c:pivotFmt>
        <c:idx val="7"/>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Sheet3!$Q$3:$Q$4</c:f>
              <c:strCache>
                <c:ptCount val="1"/>
                <c:pt idx="0">
                  <c:v>2024</c:v>
                </c:pt>
              </c:strCache>
            </c:strRef>
          </c:tx>
          <c:spPr>
            <a:ln w="28575" cap="rnd">
              <a:solidFill>
                <a:srgbClr val="FF0000"/>
              </a:solidFill>
              <a:round/>
            </a:ln>
            <a:effectLst/>
          </c:spPr>
          <c:marker>
            <c:symbol val="circle"/>
            <c:size val="5"/>
            <c:spPr>
              <a:solidFill>
                <a:schemeClr val="accent1"/>
              </a:solidFill>
              <a:ln w="9525">
                <a:solidFill>
                  <a:schemeClr val="accent1"/>
                </a:solidFill>
              </a:ln>
              <a:effectLst/>
            </c:spPr>
          </c:marker>
          <c:cat>
            <c:strRef>
              <c:f>Sheet3!$P$5:$P$10</c:f>
              <c:strCache>
                <c:ptCount val="5"/>
                <c:pt idx="0">
                  <c:v>Beauty</c:v>
                </c:pt>
                <c:pt idx="1">
                  <c:v>Books</c:v>
                </c:pt>
                <c:pt idx="2">
                  <c:v>Clothing</c:v>
                </c:pt>
                <c:pt idx="3">
                  <c:v>Electronics</c:v>
                </c:pt>
                <c:pt idx="4">
                  <c:v>Home &amp; Kitchen</c:v>
                </c:pt>
              </c:strCache>
            </c:strRef>
          </c:cat>
          <c:val>
            <c:numRef>
              <c:f>Sheet3!$Q$5:$Q$10</c:f>
              <c:numCache>
                <c:formatCode>[&lt;1000]##,##0;[&lt;1000000]#,###.0,"K";#,###.0,,"M"</c:formatCode>
                <c:ptCount val="5"/>
                <c:pt idx="0">
                  <c:v>518</c:v>
                </c:pt>
                <c:pt idx="1">
                  <c:v>599</c:v>
                </c:pt>
                <c:pt idx="2">
                  <c:v>545</c:v>
                </c:pt>
                <c:pt idx="3">
                  <c:v>580</c:v>
                </c:pt>
                <c:pt idx="4">
                  <c:v>519</c:v>
                </c:pt>
              </c:numCache>
            </c:numRef>
          </c:val>
          <c:smooth val="1"/>
          <c:extLst>
            <c:ext xmlns:c16="http://schemas.microsoft.com/office/drawing/2014/chart" uri="{C3380CC4-5D6E-409C-BE32-E72D297353CC}">
              <c16:uniqueId val="{00000000-6F20-4B18-ADBC-BCC2BBF70229}"/>
            </c:ext>
          </c:extLst>
        </c:ser>
        <c:ser>
          <c:idx val="1"/>
          <c:order val="1"/>
          <c:tx>
            <c:strRef>
              <c:f>Sheet3!$R$3:$R$4</c:f>
              <c:strCache>
                <c:ptCount val="1"/>
                <c:pt idx="0">
                  <c:v>2025</c:v>
                </c:pt>
              </c:strCache>
            </c:strRef>
          </c:tx>
          <c:spPr>
            <a:ln w="28575" cap="rnd">
              <a:solidFill>
                <a:srgbClr val="FFFF00">
                  <a:alpha val="98000"/>
                </a:srgbClr>
              </a:solidFill>
              <a:round/>
            </a:ln>
            <a:effectLst/>
          </c:spPr>
          <c:marker>
            <c:symbol val="circle"/>
            <c:size val="5"/>
            <c:spPr>
              <a:solidFill>
                <a:schemeClr val="accent2"/>
              </a:solidFill>
              <a:ln w="9525">
                <a:solidFill>
                  <a:schemeClr val="accent2"/>
                </a:solidFill>
              </a:ln>
              <a:effectLst/>
            </c:spPr>
          </c:marker>
          <c:cat>
            <c:strRef>
              <c:f>Sheet3!$P$5:$P$10</c:f>
              <c:strCache>
                <c:ptCount val="5"/>
                <c:pt idx="0">
                  <c:v>Beauty</c:v>
                </c:pt>
                <c:pt idx="1">
                  <c:v>Books</c:v>
                </c:pt>
                <c:pt idx="2">
                  <c:v>Clothing</c:v>
                </c:pt>
                <c:pt idx="3">
                  <c:v>Electronics</c:v>
                </c:pt>
                <c:pt idx="4">
                  <c:v>Home &amp; Kitchen</c:v>
                </c:pt>
              </c:strCache>
            </c:strRef>
          </c:cat>
          <c:val>
            <c:numRef>
              <c:f>Sheet3!$R$5:$R$10</c:f>
              <c:numCache>
                <c:formatCode>[&lt;1000]##,##0;[&lt;1000000]#,###.0,"K";#,###.0,,"M"</c:formatCode>
                <c:ptCount val="5"/>
                <c:pt idx="0">
                  <c:v>65</c:v>
                </c:pt>
                <c:pt idx="1">
                  <c:v>54</c:v>
                </c:pt>
                <c:pt idx="2">
                  <c:v>64</c:v>
                </c:pt>
                <c:pt idx="3">
                  <c:v>93</c:v>
                </c:pt>
                <c:pt idx="4">
                  <c:v>60</c:v>
                </c:pt>
              </c:numCache>
            </c:numRef>
          </c:val>
          <c:smooth val="0"/>
          <c:extLst>
            <c:ext xmlns:c16="http://schemas.microsoft.com/office/drawing/2014/chart" uri="{C3380CC4-5D6E-409C-BE32-E72D297353CC}">
              <c16:uniqueId val="{00000010-C362-428B-8D2C-376E78828912}"/>
            </c:ext>
          </c:extLst>
        </c:ser>
        <c:dLbls>
          <c:showLegendKey val="0"/>
          <c:showVal val="0"/>
          <c:showCatName val="0"/>
          <c:showSerName val="0"/>
          <c:showPercent val="0"/>
          <c:showBubbleSize val="0"/>
        </c:dLbls>
        <c:marker val="1"/>
        <c:smooth val="0"/>
        <c:axId val="1634911263"/>
        <c:axId val="1634912223"/>
      </c:lineChart>
      <c:catAx>
        <c:axId val="1634911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912223"/>
        <c:crosses val="autoZero"/>
        <c:auto val="1"/>
        <c:lblAlgn val="ctr"/>
        <c:lblOffset val="100"/>
        <c:noMultiLvlLbl val="0"/>
      </c:catAx>
      <c:valAx>
        <c:axId val="1634912223"/>
        <c:scaling>
          <c:orientation val="minMax"/>
        </c:scaling>
        <c:delete val="0"/>
        <c:axPos val="l"/>
        <c:majorGridlines>
          <c:spPr>
            <a:ln w="9525" cap="flat" cmpd="sng" algn="ctr">
              <a:solidFill>
                <a:schemeClr val="tx1"/>
              </a:solidFill>
              <a:round/>
            </a:ln>
            <a:effectLst/>
          </c:spPr>
        </c:majorGridlines>
        <c:numFmt formatCode="[&lt;1000]##,##0;[&lt;1000000]#,###.0,&quot;K&quot;;#,###.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91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FFFCC"/>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[DashBoard.xlsx]Sheet3!PivotTable8</c:name>
    <c:fmtId val="11"/>
  </c:pivotSource>
  <c:chart>
    <c:autoTitleDeleted val="1"/>
    <c:pivotFmts>
      <c:pivotFmt>
        <c:idx val="0"/>
        <c:spPr>
          <a:solidFill>
            <a:schemeClr val="accent4">
              <a:lumMod val="40000"/>
              <a:lumOff val="60000"/>
            </a:schemeClr>
          </a:solidFill>
          <a:ln>
            <a:solidFill>
              <a:schemeClr val="tx1"/>
            </a:solid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solidFill>
              <a:schemeClr val="tx1"/>
            </a:solid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4F49C7F5-0B35-4CA4-A31A-8BED25D6B703}" type="VALUE">
                  <a:rPr lang="en-US" sz="1000">
                    <a:solidFill>
                      <a:schemeClr val="tx1"/>
                    </a:solidFill>
                  </a:rPr>
                  <a:pPr>
                    <a:defRPr sz="9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4">
              <a:lumMod val="40000"/>
              <a:lumOff val="60000"/>
            </a:schemeClr>
          </a:solidFill>
          <a:ln>
            <a:solidFill>
              <a:schemeClr val="tx1"/>
            </a:solid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B4E00815-A6C0-4007-BCE9-F31E4108B3A9}" type="VALUE">
                  <a:rPr lang="en-US">
                    <a:solidFill>
                      <a:schemeClr val="tx1"/>
                    </a:solidFill>
                  </a:rPr>
                  <a:pPr>
                    <a:defRPr sz="9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4">
              <a:lumMod val="40000"/>
              <a:lumOff val="60000"/>
            </a:schemeClr>
          </a:solidFill>
          <a:ln>
            <a:solidFill>
              <a:schemeClr val="tx1"/>
            </a:solid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solidFill>
              <a:schemeClr val="tx1"/>
            </a:solid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4F49C7F5-0B35-4CA4-A31A-8BED25D6B703}" type="VALUE">
                  <a:rPr lang="en-US" sz="1000">
                    <a:solidFill>
                      <a:schemeClr val="tx1"/>
                    </a:solidFill>
                  </a:rPr>
                  <a:pPr>
                    <a:defRPr sz="9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4">
              <a:lumMod val="40000"/>
              <a:lumOff val="60000"/>
            </a:schemeClr>
          </a:solidFill>
          <a:ln>
            <a:solidFill>
              <a:schemeClr val="tx1"/>
            </a:solid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B4E00815-A6C0-4007-BCE9-F31E4108B3A9}" type="VALUE">
                  <a:rPr lang="en-US">
                    <a:solidFill>
                      <a:schemeClr val="tx1"/>
                    </a:solidFill>
                  </a:rPr>
                  <a:pPr>
                    <a:defRPr sz="9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4">
              <a:lumMod val="40000"/>
              <a:lumOff val="60000"/>
            </a:schemeClr>
          </a:solidFill>
          <a:ln>
            <a:solidFill>
              <a:schemeClr val="tx1"/>
            </a:solid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solidFill>
              <a:schemeClr val="tx1"/>
            </a:solid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4F49C7F5-0B35-4CA4-A31A-8BED25D6B703}" type="VALUE">
                  <a:rPr lang="en-US" sz="1000">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4">
              <a:lumMod val="40000"/>
              <a:lumOff val="60000"/>
            </a:schemeClr>
          </a:solidFill>
          <a:ln>
            <a:solidFill>
              <a:schemeClr val="tx1"/>
            </a:solid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B4E00815-A6C0-4007-BCE9-F31E4108B3A9}" type="VALUE">
                  <a:rPr lang="en-US">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Sheet3!$N$3</c:f>
              <c:strCache>
                <c:ptCount val="1"/>
                <c:pt idx="0">
                  <c:v>Total</c:v>
                </c:pt>
              </c:strCache>
            </c:strRef>
          </c:tx>
          <c:spPr>
            <a:solidFill>
              <a:schemeClr val="accent4">
                <a:lumMod val="40000"/>
                <a:lumOff val="60000"/>
              </a:schemeClr>
            </a:solidFill>
            <a:ln>
              <a:solidFill>
                <a:schemeClr val="tx1"/>
              </a:solidFill>
            </a:ln>
          </c:spPr>
          <c:dPt>
            <c:idx val="0"/>
            <c:bubble3D val="0"/>
            <c:spPr>
              <a:solidFill>
                <a:srgbClr val="FF0000"/>
              </a:solidFill>
              <a:ln>
                <a:solidFill>
                  <a:schemeClr val="tx1"/>
                </a:solidFill>
              </a:ln>
              <a:effectLst>
                <a:outerShdw blurRad="317500" algn="ctr" rotWithShape="0">
                  <a:prstClr val="black">
                    <a:alpha val="25000"/>
                  </a:prstClr>
                </a:outerShdw>
              </a:effectLst>
            </c:spPr>
            <c:extLst>
              <c:ext xmlns:c16="http://schemas.microsoft.com/office/drawing/2014/chart" uri="{C3380CC4-5D6E-409C-BE32-E72D297353CC}">
                <c16:uniqueId val="{00000001-CABB-4056-BB98-68DA29198590}"/>
              </c:ext>
            </c:extLst>
          </c:dPt>
          <c:dPt>
            <c:idx val="1"/>
            <c:bubble3D val="0"/>
            <c:explosion val="5"/>
            <c:spPr>
              <a:solidFill>
                <a:schemeClr val="accent4">
                  <a:lumMod val="40000"/>
                  <a:lumOff val="60000"/>
                </a:schemeClr>
              </a:solidFill>
              <a:ln>
                <a:solidFill>
                  <a:schemeClr val="tx1"/>
                </a:solidFill>
              </a:ln>
              <a:effectLst>
                <a:outerShdw blurRad="317500" algn="ctr" rotWithShape="0">
                  <a:prstClr val="black">
                    <a:alpha val="25000"/>
                  </a:prstClr>
                </a:outerShdw>
              </a:effectLst>
            </c:spPr>
            <c:extLst>
              <c:ext xmlns:c16="http://schemas.microsoft.com/office/drawing/2014/chart" uri="{C3380CC4-5D6E-409C-BE32-E72D297353CC}">
                <c16:uniqueId val="{00000003-CABB-4056-BB98-68DA29198590}"/>
              </c:ext>
            </c:extLst>
          </c:dPt>
          <c:dLbls>
            <c:dLbl>
              <c:idx val="0"/>
              <c:tx>
                <c:rich>
                  <a:bodyPr/>
                  <a:lstStyle/>
                  <a:p>
                    <a:fld id="{4F49C7F5-0B35-4CA4-A31A-8BED25D6B703}" type="VALUE">
                      <a:rPr lang="en-US" sz="1000">
                        <a:solidFill>
                          <a:schemeClr val="tx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ABB-4056-BB98-68DA29198590}"/>
                </c:ext>
              </c:extLst>
            </c:dLbl>
            <c:dLbl>
              <c:idx val="1"/>
              <c:tx>
                <c:rich>
                  <a:bodyPr/>
                  <a:lstStyle/>
                  <a:p>
                    <a:fld id="{B4E00815-A6C0-4007-BCE9-F31E4108B3A9}" type="VALUE">
                      <a:rPr lang="en-US">
                        <a:solidFill>
                          <a:schemeClr val="tx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ABB-4056-BB98-68DA2919859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Sheet3!$M$4:$M$6</c:f>
              <c:strCache>
                <c:ptCount val="2"/>
                <c:pt idx="0">
                  <c:v>2024</c:v>
                </c:pt>
                <c:pt idx="1">
                  <c:v>2025</c:v>
                </c:pt>
              </c:strCache>
            </c:strRef>
          </c:cat>
          <c:val>
            <c:numRef>
              <c:f>Sheet3!$N$4:$N$6</c:f>
              <c:numCache>
                <c:formatCode>[&lt;1000]##,##0;[&lt;1000000]#,###.0,"K";#,###.0,,"M"</c:formatCode>
                <c:ptCount val="2"/>
                <c:pt idx="0">
                  <c:v>21916753.390000004</c:v>
                </c:pt>
                <c:pt idx="1">
                  <c:v>2603504.8699999996</c:v>
                </c:pt>
              </c:numCache>
            </c:numRef>
          </c:val>
          <c:extLst>
            <c:ext xmlns:c16="http://schemas.microsoft.com/office/drawing/2014/chart" uri="{C3380CC4-5D6E-409C-BE32-E72D297353CC}">
              <c16:uniqueId val="{00000004-CABB-4056-BB98-68DA29198590}"/>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99"/>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[DashBoard.xlsx]Sheet3!PivotTable7</c:name>
    <c:fmtId val="21"/>
  </c:pivotSource>
  <c:chart>
    <c:autoTitleDeleted val="1"/>
    <c:pivotFmts>
      <c:pivotFmt>
        <c:idx val="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60221618783347"/>
          <c:y val="5.3250328383377968E-2"/>
          <c:w val="0.83415080763117033"/>
          <c:h val="0.83444827399561949"/>
        </c:manualLayout>
      </c:layout>
      <c:lineChart>
        <c:grouping val="stacked"/>
        <c:varyColors val="0"/>
        <c:ser>
          <c:idx val="0"/>
          <c:order val="0"/>
          <c:tx>
            <c:strRef>
              <c:f>Sheet3!$K$3</c:f>
              <c:strCache>
                <c:ptCount val="1"/>
                <c:pt idx="0">
                  <c:v>Total</c:v>
                </c:pt>
              </c:strCache>
            </c:strRef>
          </c:tx>
          <c:spPr>
            <a:ln w="28575" cap="rnd">
              <a:solidFill>
                <a:srgbClr val="FF0000"/>
              </a:solidFill>
              <a:round/>
            </a:ln>
            <a:effectLst/>
          </c:spPr>
          <c:marker>
            <c:symbol val="none"/>
          </c:marker>
          <c:cat>
            <c:strRef>
              <c:f>Sheet3!$J$4:$J$16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Sheet3!$K$4:$K$16</c:f>
              <c:numCache>
                <c:formatCode>General</c:formatCode>
                <c:ptCount val="12"/>
                <c:pt idx="0">
                  <c:v>2023756.1000000008</c:v>
                </c:pt>
                <c:pt idx="1">
                  <c:v>1812859.9899999998</c:v>
                </c:pt>
                <c:pt idx="2">
                  <c:v>2070636.2799999993</c:v>
                </c:pt>
                <c:pt idx="3">
                  <c:v>2121242.2800000007</c:v>
                </c:pt>
                <c:pt idx="4">
                  <c:v>2318372.44</c:v>
                </c:pt>
                <c:pt idx="5">
                  <c:v>1880796.43</c:v>
                </c:pt>
                <c:pt idx="6">
                  <c:v>2541971.4200000004</c:v>
                </c:pt>
                <c:pt idx="7">
                  <c:v>1837971.5999999992</c:v>
                </c:pt>
                <c:pt idx="8">
                  <c:v>2023175.75</c:v>
                </c:pt>
                <c:pt idx="9">
                  <c:v>2049290.0100000002</c:v>
                </c:pt>
                <c:pt idx="10">
                  <c:v>1801502.27</c:v>
                </c:pt>
                <c:pt idx="11">
                  <c:v>2038683.6899999992</c:v>
                </c:pt>
              </c:numCache>
            </c:numRef>
          </c:val>
          <c:smooth val="1"/>
          <c:extLst>
            <c:ext xmlns:c16="http://schemas.microsoft.com/office/drawing/2014/chart" uri="{C3380CC4-5D6E-409C-BE32-E72D297353CC}">
              <c16:uniqueId val="{00000000-8BD2-4DE4-BC34-0A7421447431}"/>
            </c:ext>
          </c:extLst>
        </c:ser>
        <c:dLbls>
          <c:showLegendKey val="0"/>
          <c:showVal val="0"/>
          <c:showCatName val="0"/>
          <c:showSerName val="0"/>
          <c:showPercent val="0"/>
          <c:showBubbleSize val="0"/>
        </c:dLbls>
        <c:smooth val="0"/>
        <c:axId val="1646189503"/>
        <c:axId val="1646186623"/>
      </c:lineChart>
      <c:catAx>
        <c:axId val="16461895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186623"/>
        <c:crosses val="autoZero"/>
        <c:auto val="1"/>
        <c:lblAlgn val="ctr"/>
        <c:lblOffset val="100"/>
        <c:noMultiLvlLbl val="0"/>
      </c:catAx>
      <c:valAx>
        <c:axId val="1646186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189503"/>
        <c:crosses val="autoZero"/>
        <c:crossBetween val="between"/>
      </c:valAx>
      <c:spPr>
        <a:noFill/>
        <a:ln>
          <a:solidFill>
            <a:srgbClr val="FFFF99"/>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FFF99"/>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160020</xdr:colOff>
      <xdr:row>10</xdr:row>
      <xdr:rowOff>129540</xdr:rowOff>
    </xdr:from>
    <xdr:to>
      <xdr:col>6</xdr:col>
      <xdr:colOff>0</xdr:colOff>
      <xdr:row>23</xdr:row>
      <xdr:rowOff>160020</xdr:rowOff>
    </xdr:to>
    <xdr:graphicFrame macro="">
      <xdr:nvGraphicFramePr>
        <xdr:cNvPr id="2" name="Chart 1">
          <a:extLst>
            <a:ext uri="{FF2B5EF4-FFF2-40B4-BE49-F238E27FC236}">
              <a16:creationId xmlns:a16="http://schemas.microsoft.com/office/drawing/2014/main" id="{B96BD1B7-988F-B695-5010-2F7BE778B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891540</xdr:colOff>
      <xdr:row>29</xdr:row>
      <xdr:rowOff>0</xdr:rowOff>
    </xdr:from>
    <xdr:to>
      <xdr:col>8</xdr:col>
      <xdr:colOff>228600</xdr:colOff>
      <xdr:row>42</xdr:row>
      <xdr:rowOff>160020</xdr:rowOff>
    </xdr:to>
    <xdr:graphicFrame macro="">
      <xdr:nvGraphicFramePr>
        <xdr:cNvPr id="3" name="Chart 2">
          <a:extLst>
            <a:ext uri="{FF2B5EF4-FFF2-40B4-BE49-F238E27FC236}">
              <a16:creationId xmlns:a16="http://schemas.microsoft.com/office/drawing/2014/main" id="{2663F7AA-26FD-D603-BAE3-8B82E09944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17</xdr:row>
      <xdr:rowOff>0</xdr:rowOff>
    </xdr:from>
    <xdr:to>
      <xdr:col>11</xdr:col>
      <xdr:colOff>967740</xdr:colOff>
      <xdr:row>27</xdr:row>
      <xdr:rowOff>34290</xdr:rowOff>
    </xdr:to>
    <xdr:graphicFrame macro="">
      <xdr:nvGraphicFramePr>
        <xdr:cNvPr id="4" name="Chart 3">
          <a:extLst>
            <a:ext uri="{FF2B5EF4-FFF2-40B4-BE49-F238E27FC236}">
              <a16:creationId xmlns:a16="http://schemas.microsoft.com/office/drawing/2014/main" id="{212C8281-6EDD-2CD7-C33D-A6F86AFBB1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685800</xdr:colOff>
      <xdr:row>8</xdr:row>
      <xdr:rowOff>83820</xdr:rowOff>
    </xdr:from>
    <xdr:to>
      <xdr:col>14</xdr:col>
      <xdr:colOff>518160</xdr:colOff>
      <xdr:row>19</xdr:row>
      <xdr:rowOff>106680</xdr:rowOff>
    </xdr:to>
    <xdr:graphicFrame macro="">
      <xdr:nvGraphicFramePr>
        <xdr:cNvPr id="5" name="Chart 4">
          <a:extLst>
            <a:ext uri="{FF2B5EF4-FFF2-40B4-BE49-F238E27FC236}">
              <a16:creationId xmlns:a16="http://schemas.microsoft.com/office/drawing/2014/main" id="{7F97EFEC-20F9-6250-5271-C58667E640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434340</xdr:colOff>
      <xdr:row>11</xdr:row>
      <xdr:rowOff>22860</xdr:rowOff>
    </xdr:from>
    <xdr:to>
      <xdr:col>18</xdr:col>
      <xdr:colOff>434340</xdr:colOff>
      <xdr:row>20</xdr:row>
      <xdr:rowOff>45720</xdr:rowOff>
    </xdr:to>
    <xdr:graphicFrame macro="">
      <xdr:nvGraphicFramePr>
        <xdr:cNvPr id="6" name="Chart 5">
          <a:extLst>
            <a:ext uri="{FF2B5EF4-FFF2-40B4-BE49-F238E27FC236}">
              <a16:creationId xmlns:a16="http://schemas.microsoft.com/office/drawing/2014/main" id="{B62F4C80-7831-8CB9-CE05-23D9376814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213360</xdr:colOff>
      <xdr:row>24</xdr:row>
      <xdr:rowOff>0</xdr:rowOff>
    </xdr:from>
    <xdr:to>
      <xdr:col>10</xdr:col>
      <xdr:colOff>0</xdr:colOff>
      <xdr:row>38</xdr:row>
      <xdr:rowOff>13335</xdr:rowOff>
    </xdr:to>
    <mc:AlternateContent xmlns:mc="http://schemas.openxmlformats.org/markup-compatibility/2006">
      <mc:Choice xmlns:a14="http://schemas.microsoft.com/office/drawing/2010/main" Requires="a14">
        <xdr:graphicFrame macro="">
          <xdr:nvGraphicFramePr>
            <xdr:cNvPr id="9" name="Years (Order Date)">
              <a:extLst>
                <a:ext uri="{FF2B5EF4-FFF2-40B4-BE49-F238E27FC236}">
                  <a16:creationId xmlns:a16="http://schemas.microsoft.com/office/drawing/2014/main" id="{89ABE888-7F0C-E841-EF27-DFD1173B6E35}"/>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9753600" y="4312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297180</xdr:colOff>
      <xdr:row>21</xdr:row>
      <xdr:rowOff>0</xdr:rowOff>
    </xdr:from>
    <xdr:to>
      <xdr:col>12</xdr:col>
      <xdr:colOff>541020</xdr:colOff>
      <xdr:row>35</xdr:row>
      <xdr:rowOff>13335</xdr:rowOff>
    </xdr:to>
    <mc:AlternateContent xmlns:mc="http://schemas.openxmlformats.org/markup-compatibility/2006">
      <mc:Choice xmlns:a14="http://schemas.microsoft.com/office/drawing/2010/main" Requires="a14">
        <xdr:graphicFrame macro="">
          <xdr:nvGraphicFramePr>
            <xdr:cNvPr id="10" name="Months (Order Date) 2">
              <a:extLst>
                <a:ext uri="{FF2B5EF4-FFF2-40B4-BE49-F238E27FC236}">
                  <a16:creationId xmlns:a16="http://schemas.microsoft.com/office/drawing/2014/main" id="{EF6745D0-6601-EE27-4BF9-821C7CC461A7}"/>
                </a:ext>
              </a:extLst>
            </xdr:cNvPr>
            <xdr:cNvGraphicFramePr/>
          </xdr:nvGraphicFramePr>
          <xdr:xfrm>
            <a:off x="0" y="0"/>
            <a:ext cx="0" cy="0"/>
          </xdr:xfrm>
          <a:graphic>
            <a:graphicData uri="http://schemas.microsoft.com/office/drawing/2010/slicer">
              <sle:slicer xmlns:sle="http://schemas.microsoft.com/office/drawing/2010/slicer" name="Months (Order Date) 2"/>
            </a:graphicData>
          </a:graphic>
        </xdr:graphicFrame>
      </mc:Choice>
      <mc:Fallback>
        <xdr:sp macro="" textlink="">
          <xdr:nvSpPr>
            <xdr:cNvPr id="0" name=""/>
            <xdr:cNvSpPr>
              <a:spLocks noTextEdit="1"/>
            </xdr:cNvSpPr>
          </xdr:nvSpPr>
          <xdr:spPr>
            <a:xfrm>
              <a:off x="13106400" y="3787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180974</xdr:rowOff>
    </xdr:from>
    <xdr:to>
      <xdr:col>2</xdr:col>
      <xdr:colOff>499536</xdr:colOff>
      <xdr:row>38</xdr:row>
      <xdr:rowOff>180974</xdr:rowOff>
    </xdr:to>
    <xdr:sp macro="" textlink="">
      <xdr:nvSpPr>
        <xdr:cNvPr id="2" name="Rectangle: Top Corners Rounded 1">
          <a:extLst>
            <a:ext uri="{FF2B5EF4-FFF2-40B4-BE49-F238E27FC236}">
              <a16:creationId xmlns:a16="http://schemas.microsoft.com/office/drawing/2014/main" id="{C5EAD01F-984A-5200-54B0-10AF4539D701}"/>
            </a:ext>
          </a:extLst>
        </xdr:cNvPr>
        <xdr:cNvSpPr/>
      </xdr:nvSpPr>
      <xdr:spPr>
        <a:xfrm rot="16200000">
          <a:off x="-2579157" y="2760131"/>
          <a:ext cx="6877050" cy="1718736"/>
        </a:xfrm>
        <a:prstGeom prst="round2SameRect">
          <a:avLst/>
        </a:prstGeom>
        <a:solidFill>
          <a:srgbClr val="FFFFCC"/>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0</xdr:colOff>
      <xdr:row>1</xdr:row>
      <xdr:rowOff>0</xdr:rowOff>
    </xdr:from>
    <xdr:to>
      <xdr:col>23</xdr:col>
      <xdr:colOff>372535</xdr:colOff>
      <xdr:row>7</xdr:row>
      <xdr:rowOff>108585</xdr:rowOff>
    </xdr:to>
    <xdr:sp macro="" textlink="">
      <xdr:nvSpPr>
        <xdr:cNvPr id="3" name="Rectangle: Top Corners Rounded 2">
          <a:extLst>
            <a:ext uri="{FF2B5EF4-FFF2-40B4-BE49-F238E27FC236}">
              <a16:creationId xmlns:a16="http://schemas.microsoft.com/office/drawing/2014/main" id="{BF4C668E-EA10-04EE-E6BC-6A2F534ED202}"/>
            </a:ext>
          </a:extLst>
        </xdr:cNvPr>
        <xdr:cNvSpPr/>
      </xdr:nvSpPr>
      <xdr:spPr>
        <a:xfrm>
          <a:off x="1828800" y="180975"/>
          <a:ext cx="12564535" cy="1194435"/>
        </a:xfrm>
        <a:prstGeom prst="round2SameRect">
          <a:avLst/>
        </a:prstGeom>
        <a:solidFill>
          <a:srgbClr val="FF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33868</xdr:colOff>
      <xdr:row>8</xdr:row>
      <xdr:rowOff>25400</xdr:rowOff>
    </xdr:from>
    <xdr:to>
      <xdr:col>6</xdr:col>
      <xdr:colOff>16934</xdr:colOff>
      <xdr:row>13</xdr:row>
      <xdr:rowOff>160866</xdr:rowOff>
    </xdr:to>
    <xdr:sp macro="" textlink="">
      <xdr:nvSpPr>
        <xdr:cNvPr id="4" name="Rectangle: Rounded Corners 3">
          <a:extLst>
            <a:ext uri="{FF2B5EF4-FFF2-40B4-BE49-F238E27FC236}">
              <a16:creationId xmlns:a16="http://schemas.microsoft.com/office/drawing/2014/main" id="{838748AE-7F4D-16F8-B061-19F45FB2C14B}"/>
            </a:ext>
          </a:extLst>
        </xdr:cNvPr>
        <xdr:cNvSpPr/>
      </xdr:nvSpPr>
      <xdr:spPr>
        <a:xfrm>
          <a:off x="1862668" y="1515533"/>
          <a:ext cx="1811866" cy="1066800"/>
        </a:xfrm>
        <a:prstGeom prst="roundRect">
          <a:avLst/>
        </a:prstGeom>
        <a:solidFill>
          <a:srgbClr val="FF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6</xdr:col>
      <xdr:colOff>338666</xdr:colOff>
      <xdr:row>8</xdr:row>
      <xdr:rowOff>33866</xdr:rowOff>
    </xdr:from>
    <xdr:to>
      <xdr:col>9</xdr:col>
      <xdr:colOff>355599</xdr:colOff>
      <xdr:row>13</xdr:row>
      <xdr:rowOff>160866</xdr:rowOff>
    </xdr:to>
    <xdr:sp macro="" textlink="">
      <xdr:nvSpPr>
        <xdr:cNvPr id="5" name="Rectangle: Rounded Corners 4">
          <a:extLst>
            <a:ext uri="{FF2B5EF4-FFF2-40B4-BE49-F238E27FC236}">
              <a16:creationId xmlns:a16="http://schemas.microsoft.com/office/drawing/2014/main" id="{84995A73-7972-4B56-BCCA-A1055DFEDC53}"/>
            </a:ext>
          </a:extLst>
        </xdr:cNvPr>
        <xdr:cNvSpPr/>
      </xdr:nvSpPr>
      <xdr:spPr>
        <a:xfrm>
          <a:off x="3996266" y="1523999"/>
          <a:ext cx="1845733" cy="1058334"/>
        </a:xfrm>
        <a:prstGeom prst="roundRect">
          <a:avLst/>
        </a:prstGeom>
        <a:solidFill>
          <a:srgbClr val="FF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265641</xdr:colOff>
      <xdr:row>8</xdr:row>
      <xdr:rowOff>37042</xdr:rowOff>
    </xdr:from>
    <xdr:to>
      <xdr:col>16</xdr:col>
      <xdr:colOff>257175</xdr:colOff>
      <xdr:row>14</xdr:row>
      <xdr:rowOff>0</xdr:rowOff>
    </xdr:to>
    <xdr:sp macro="" textlink="">
      <xdr:nvSpPr>
        <xdr:cNvPr id="6" name="Rectangle: Rounded Corners 5">
          <a:extLst>
            <a:ext uri="{FF2B5EF4-FFF2-40B4-BE49-F238E27FC236}">
              <a16:creationId xmlns:a16="http://schemas.microsoft.com/office/drawing/2014/main" id="{028F854C-EC86-47C3-88FD-ADBEB6BEF7D9}"/>
            </a:ext>
          </a:extLst>
        </xdr:cNvPr>
        <xdr:cNvSpPr/>
      </xdr:nvSpPr>
      <xdr:spPr>
        <a:xfrm>
          <a:off x="8190441" y="1484842"/>
          <a:ext cx="1820334" cy="1048808"/>
        </a:xfrm>
        <a:prstGeom prst="roundRect">
          <a:avLst/>
        </a:prstGeom>
        <a:solidFill>
          <a:srgbClr val="FFFFCC"/>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76200</xdr:colOff>
      <xdr:row>8</xdr:row>
      <xdr:rowOff>16935</xdr:rowOff>
    </xdr:from>
    <xdr:to>
      <xdr:col>13</xdr:col>
      <xdr:colOff>76201</xdr:colOff>
      <xdr:row>13</xdr:row>
      <xdr:rowOff>152400</xdr:rowOff>
    </xdr:to>
    <xdr:sp macro="" textlink="">
      <xdr:nvSpPr>
        <xdr:cNvPr id="7" name="Rectangle: Rounded Corners 6">
          <a:extLst>
            <a:ext uri="{FF2B5EF4-FFF2-40B4-BE49-F238E27FC236}">
              <a16:creationId xmlns:a16="http://schemas.microsoft.com/office/drawing/2014/main" id="{486AD9F0-5C8A-448E-A4DD-193135E2FC06}"/>
            </a:ext>
          </a:extLst>
        </xdr:cNvPr>
        <xdr:cNvSpPr/>
      </xdr:nvSpPr>
      <xdr:spPr>
        <a:xfrm>
          <a:off x="6172200" y="1507068"/>
          <a:ext cx="1828801" cy="1066799"/>
        </a:xfrm>
        <a:prstGeom prst="roundRect">
          <a:avLst/>
        </a:prstGeom>
        <a:solidFill>
          <a:srgbClr val="FF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152399</xdr:colOff>
      <xdr:row>14</xdr:row>
      <xdr:rowOff>118533</xdr:rowOff>
    </xdr:from>
    <xdr:to>
      <xdr:col>17</xdr:col>
      <xdr:colOff>33867</xdr:colOff>
      <xdr:row>28</xdr:row>
      <xdr:rowOff>126999</xdr:rowOff>
    </xdr:to>
    <xdr:sp macro="" textlink="">
      <xdr:nvSpPr>
        <xdr:cNvPr id="13" name="Rectangle 12">
          <a:extLst>
            <a:ext uri="{FF2B5EF4-FFF2-40B4-BE49-F238E27FC236}">
              <a16:creationId xmlns:a16="http://schemas.microsoft.com/office/drawing/2014/main" id="{997E8C3F-F92E-4660-B099-086FCE0E472B}"/>
            </a:ext>
          </a:extLst>
        </xdr:cNvPr>
        <xdr:cNvSpPr/>
      </xdr:nvSpPr>
      <xdr:spPr>
        <a:xfrm>
          <a:off x="6248399" y="2726266"/>
          <a:ext cx="4148668" cy="2616200"/>
        </a:xfrm>
        <a:prstGeom prst="rect">
          <a:avLst/>
        </a:prstGeom>
        <a:solidFill>
          <a:srgbClr val="FF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127000</xdr:colOff>
      <xdr:row>8</xdr:row>
      <xdr:rowOff>67734</xdr:rowOff>
    </xdr:from>
    <xdr:to>
      <xdr:col>23</xdr:col>
      <xdr:colOff>338667</xdr:colOff>
      <xdr:row>22</xdr:row>
      <xdr:rowOff>110066</xdr:rowOff>
    </xdr:to>
    <xdr:sp macro="" textlink="">
      <xdr:nvSpPr>
        <xdr:cNvPr id="14" name="Rectangle 13">
          <a:extLst>
            <a:ext uri="{FF2B5EF4-FFF2-40B4-BE49-F238E27FC236}">
              <a16:creationId xmlns:a16="http://schemas.microsoft.com/office/drawing/2014/main" id="{3F9A7447-90EA-4640-A5E2-6800680D6533}"/>
            </a:ext>
          </a:extLst>
        </xdr:cNvPr>
        <xdr:cNvSpPr/>
      </xdr:nvSpPr>
      <xdr:spPr>
        <a:xfrm>
          <a:off x="10490200" y="1557867"/>
          <a:ext cx="3869267" cy="2650066"/>
        </a:xfrm>
        <a:prstGeom prst="rect">
          <a:avLst/>
        </a:prstGeom>
        <a:solidFill>
          <a:srgbClr val="FF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143932</xdr:colOff>
      <xdr:row>23</xdr:row>
      <xdr:rowOff>110067</xdr:rowOff>
    </xdr:from>
    <xdr:to>
      <xdr:col>23</xdr:col>
      <xdr:colOff>355599</xdr:colOff>
      <xdr:row>37</xdr:row>
      <xdr:rowOff>143934</xdr:rowOff>
    </xdr:to>
    <xdr:sp macro="" textlink="">
      <xdr:nvSpPr>
        <xdr:cNvPr id="15" name="Rectangle 14">
          <a:extLst>
            <a:ext uri="{FF2B5EF4-FFF2-40B4-BE49-F238E27FC236}">
              <a16:creationId xmlns:a16="http://schemas.microsoft.com/office/drawing/2014/main" id="{10B91D1D-F7FF-49F9-A016-3DE2A6A55D75}"/>
            </a:ext>
          </a:extLst>
        </xdr:cNvPr>
        <xdr:cNvSpPr/>
      </xdr:nvSpPr>
      <xdr:spPr>
        <a:xfrm>
          <a:off x="10507132" y="4394200"/>
          <a:ext cx="3869267" cy="2641601"/>
        </a:xfrm>
        <a:prstGeom prst="rect">
          <a:avLst/>
        </a:prstGeom>
        <a:solidFill>
          <a:srgbClr val="FF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29632</xdr:colOff>
      <xdr:row>2</xdr:row>
      <xdr:rowOff>0</xdr:rowOff>
    </xdr:from>
    <xdr:to>
      <xdr:col>19</xdr:col>
      <xdr:colOff>342900</xdr:colOff>
      <xdr:row>5</xdr:row>
      <xdr:rowOff>138643</xdr:rowOff>
    </xdr:to>
    <xdr:sp macro="" textlink="">
      <xdr:nvSpPr>
        <xdr:cNvPr id="17" name="TextBox 16">
          <a:extLst>
            <a:ext uri="{FF2B5EF4-FFF2-40B4-BE49-F238E27FC236}">
              <a16:creationId xmlns:a16="http://schemas.microsoft.com/office/drawing/2014/main" id="{57ADE92A-68A8-8E36-BD9E-CD14D3A330AB}"/>
            </a:ext>
          </a:extLst>
        </xdr:cNvPr>
        <xdr:cNvSpPr txBox="1"/>
      </xdr:nvSpPr>
      <xdr:spPr>
        <a:xfrm>
          <a:off x="4296832" y="361950"/>
          <a:ext cx="7628468" cy="681568"/>
        </a:xfrm>
        <a:prstGeom prst="rect">
          <a:avLst/>
        </a:prstGeom>
        <a:solidFill>
          <a:srgbClr val="FFFFC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a:latin typeface="Algerian" panose="04020705040A02060702" pitchFamily="82" charset="0"/>
            </a:rPr>
            <a:t>Flipkart</a:t>
          </a:r>
          <a:r>
            <a:rPr lang="en-IN" sz="3600" baseline="0">
              <a:latin typeface="Algerian" panose="04020705040A02060702" pitchFamily="82" charset="0"/>
            </a:rPr>
            <a:t> Sales Price Analysis</a:t>
          </a:r>
          <a:endParaRPr lang="en-IN" sz="3600">
            <a:latin typeface="Algerian" panose="04020705040A02060702" pitchFamily="82" charset="0"/>
          </a:endParaRPr>
        </a:p>
      </xdr:txBody>
    </xdr:sp>
    <xdr:clientData/>
  </xdr:twoCellAnchor>
  <xdr:twoCellAnchor editAs="oneCell">
    <xdr:from>
      <xdr:col>3</xdr:col>
      <xdr:colOff>189258</xdr:colOff>
      <xdr:row>2</xdr:row>
      <xdr:rowOff>0</xdr:rowOff>
    </xdr:from>
    <xdr:to>
      <xdr:col>7</xdr:col>
      <xdr:colOff>0</xdr:colOff>
      <xdr:row>6</xdr:row>
      <xdr:rowOff>0</xdr:rowOff>
    </xdr:to>
    <xdr:pic>
      <xdr:nvPicPr>
        <xdr:cNvPr id="19" name="Picture 18">
          <a:extLst>
            <a:ext uri="{FF2B5EF4-FFF2-40B4-BE49-F238E27FC236}">
              <a16:creationId xmlns:a16="http://schemas.microsoft.com/office/drawing/2014/main" id="{2AB45174-9A98-DBBF-7814-24CCCFC82B3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933" t="41244" r="21600" b="39911"/>
        <a:stretch>
          <a:fillRect/>
        </a:stretch>
      </xdr:blipFill>
      <xdr:spPr>
        <a:xfrm>
          <a:off x="2018058" y="361950"/>
          <a:ext cx="2249142" cy="723900"/>
        </a:xfrm>
        <a:prstGeom prst="rect">
          <a:avLst/>
        </a:prstGeom>
        <a:solidFill>
          <a:srgbClr val="FFFFCC"/>
        </a:solidFill>
      </xdr:spPr>
    </xdr:pic>
    <xdr:clientData/>
  </xdr:twoCellAnchor>
  <xdr:twoCellAnchor>
    <xdr:from>
      <xdr:col>3</xdr:col>
      <xdr:colOff>457199</xdr:colOff>
      <xdr:row>8</xdr:row>
      <xdr:rowOff>160867</xdr:rowOff>
    </xdr:from>
    <xdr:to>
      <xdr:col>5</xdr:col>
      <xdr:colOff>304800</xdr:colOff>
      <xdr:row>11</xdr:row>
      <xdr:rowOff>33867</xdr:rowOff>
    </xdr:to>
    <xdr:sp macro="" textlink="Sheet3!B4">
      <xdr:nvSpPr>
        <xdr:cNvPr id="21" name="TextBox 20">
          <a:extLst>
            <a:ext uri="{FF2B5EF4-FFF2-40B4-BE49-F238E27FC236}">
              <a16:creationId xmlns:a16="http://schemas.microsoft.com/office/drawing/2014/main" id="{2E9F5A43-86D1-3103-15E6-6665F3E50C7D}"/>
            </a:ext>
          </a:extLst>
        </xdr:cNvPr>
        <xdr:cNvSpPr txBox="1"/>
      </xdr:nvSpPr>
      <xdr:spPr>
        <a:xfrm>
          <a:off x="2285999" y="1651000"/>
          <a:ext cx="1066801" cy="431800"/>
        </a:xfrm>
        <a:prstGeom prst="rect">
          <a:avLst/>
        </a:prstGeom>
        <a:solidFill>
          <a:srgbClr val="FFFFCC"/>
        </a:solidFill>
        <a:ln w="9525" cmpd="sng">
          <a:solidFill>
            <a:srgbClr val="FFFF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1FE5009-D4E9-4DC7-9662-7A6BF5A78982}" type="TxLink">
            <a:rPr lang="en-US" sz="2400" b="0" i="0" u="none" strike="noStrike">
              <a:solidFill>
                <a:srgbClr val="000000"/>
              </a:solidFill>
              <a:latin typeface="Times New Roman"/>
              <a:cs typeface="Times New Roman"/>
            </a:rPr>
            <a:pPr/>
            <a:t>75.2M</a:t>
          </a:fld>
          <a:endParaRPr lang="en-IN" sz="3200"/>
        </a:p>
      </xdr:txBody>
    </xdr:sp>
    <xdr:clientData/>
  </xdr:twoCellAnchor>
  <xdr:twoCellAnchor>
    <xdr:from>
      <xdr:col>3</xdr:col>
      <xdr:colOff>296333</xdr:colOff>
      <xdr:row>10</xdr:row>
      <xdr:rowOff>169334</xdr:rowOff>
    </xdr:from>
    <xdr:to>
      <xdr:col>5</xdr:col>
      <xdr:colOff>414866</xdr:colOff>
      <xdr:row>13</xdr:row>
      <xdr:rowOff>16934</xdr:rowOff>
    </xdr:to>
    <xdr:sp macro="" textlink="">
      <xdr:nvSpPr>
        <xdr:cNvPr id="22" name="TextBox 21">
          <a:extLst>
            <a:ext uri="{FF2B5EF4-FFF2-40B4-BE49-F238E27FC236}">
              <a16:creationId xmlns:a16="http://schemas.microsoft.com/office/drawing/2014/main" id="{5585CEE1-3D02-4D29-8045-0DCA8B72B36E}"/>
            </a:ext>
          </a:extLst>
        </xdr:cNvPr>
        <xdr:cNvSpPr txBox="1"/>
      </xdr:nvSpPr>
      <xdr:spPr>
        <a:xfrm>
          <a:off x="2125133" y="2032001"/>
          <a:ext cx="1337733" cy="406400"/>
        </a:xfrm>
        <a:prstGeom prst="rect">
          <a:avLst/>
        </a:prstGeom>
        <a:solidFill>
          <a:srgbClr val="FFFFCC"/>
        </a:solidFill>
        <a:ln w="9525" cmpd="sng">
          <a:solidFill>
            <a:srgbClr val="FFFF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latin typeface="Times New Roman" panose="02020603050405020304" pitchFamily="18" charset="0"/>
              <a:cs typeface="Times New Roman" panose="02020603050405020304" pitchFamily="18" charset="0"/>
            </a:rPr>
            <a:t>Total Sales</a:t>
          </a:r>
        </a:p>
      </xdr:txBody>
    </xdr:sp>
    <xdr:clientData/>
  </xdr:twoCellAnchor>
  <xdr:twoCellAnchor>
    <xdr:from>
      <xdr:col>7</xdr:col>
      <xdr:colOff>135466</xdr:colOff>
      <xdr:row>9</xdr:row>
      <xdr:rowOff>1</xdr:rowOff>
    </xdr:from>
    <xdr:to>
      <xdr:col>9</xdr:col>
      <xdr:colOff>67733</xdr:colOff>
      <xdr:row>11</xdr:row>
      <xdr:rowOff>59268</xdr:rowOff>
    </xdr:to>
    <xdr:sp macro="" textlink="Sheet3!B12">
      <xdr:nvSpPr>
        <xdr:cNvPr id="23" name="TextBox 22">
          <a:extLst>
            <a:ext uri="{FF2B5EF4-FFF2-40B4-BE49-F238E27FC236}">
              <a16:creationId xmlns:a16="http://schemas.microsoft.com/office/drawing/2014/main" id="{A2AC9C96-FCA1-4996-9F94-A58C8D0BAFB9}"/>
            </a:ext>
          </a:extLst>
        </xdr:cNvPr>
        <xdr:cNvSpPr txBox="1"/>
      </xdr:nvSpPr>
      <xdr:spPr>
        <a:xfrm>
          <a:off x="4402666" y="1676401"/>
          <a:ext cx="1151467" cy="431800"/>
        </a:xfrm>
        <a:prstGeom prst="rect">
          <a:avLst/>
        </a:prstGeom>
        <a:solidFill>
          <a:srgbClr val="FFFFCC"/>
        </a:solidFill>
        <a:ln w="9525" cmpd="sng">
          <a:solidFill>
            <a:srgbClr val="FFFF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A3E875-06E4-4013-AD94-7AD8F7353AB4}" type="TxLink">
            <a:rPr lang="en-US" sz="2400" b="0" i="0" u="none" strike="noStrike">
              <a:solidFill>
                <a:srgbClr val="000000"/>
              </a:solidFill>
              <a:latin typeface="Times New Roman"/>
              <a:cs typeface="Times New Roman"/>
            </a:rPr>
            <a:pPr/>
            <a:t>24.5M</a:t>
          </a:fld>
          <a:endParaRPr lang="en-IN" sz="1400"/>
        </a:p>
      </xdr:txBody>
    </xdr:sp>
    <xdr:clientData/>
  </xdr:twoCellAnchor>
  <xdr:twoCellAnchor>
    <xdr:from>
      <xdr:col>6</xdr:col>
      <xdr:colOff>558798</xdr:colOff>
      <xdr:row>11</xdr:row>
      <xdr:rowOff>1</xdr:rowOff>
    </xdr:from>
    <xdr:to>
      <xdr:col>9</xdr:col>
      <xdr:colOff>110065</xdr:colOff>
      <xdr:row>13</xdr:row>
      <xdr:rowOff>8467</xdr:rowOff>
    </xdr:to>
    <xdr:sp macro="" textlink="">
      <xdr:nvSpPr>
        <xdr:cNvPr id="24" name="TextBox 23">
          <a:extLst>
            <a:ext uri="{FF2B5EF4-FFF2-40B4-BE49-F238E27FC236}">
              <a16:creationId xmlns:a16="http://schemas.microsoft.com/office/drawing/2014/main" id="{CEA0B51B-8788-4BD7-9D69-635CEF0546ED}"/>
            </a:ext>
          </a:extLst>
        </xdr:cNvPr>
        <xdr:cNvSpPr txBox="1"/>
      </xdr:nvSpPr>
      <xdr:spPr>
        <a:xfrm>
          <a:off x="4216398" y="2048934"/>
          <a:ext cx="1380067" cy="381000"/>
        </a:xfrm>
        <a:prstGeom prst="rect">
          <a:avLst/>
        </a:prstGeom>
        <a:solidFill>
          <a:srgbClr val="FFFFCC"/>
        </a:solidFill>
        <a:ln w="9525" cmpd="sng">
          <a:solidFill>
            <a:srgbClr val="FFFF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latin typeface="Times New Roman" panose="02020603050405020304" pitchFamily="18" charset="0"/>
              <a:cs typeface="Times New Roman" panose="02020603050405020304" pitchFamily="18" charset="0"/>
            </a:rPr>
            <a:t>Total Price</a:t>
          </a:r>
        </a:p>
      </xdr:txBody>
    </xdr:sp>
    <xdr:clientData/>
  </xdr:twoCellAnchor>
  <xdr:twoCellAnchor>
    <xdr:from>
      <xdr:col>11</xdr:col>
      <xdr:colOff>16934</xdr:colOff>
      <xdr:row>9</xdr:row>
      <xdr:rowOff>0</xdr:rowOff>
    </xdr:from>
    <xdr:to>
      <xdr:col>12</xdr:col>
      <xdr:colOff>296334</xdr:colOff>
      <xdr:row>11</xdr:row>
      <xdr:rowOff>59267</xdr:rowOff>
    </xdr:to>
    <xdr:sp macro="" textlink="Sheet3!B8">
      <xdr:nvSpPr>
        <xdr:cNvPr id="25" name="TextBox 24">
          <a:extLst>
            <a:ext uri="{FF2B5EF4-FFF2-40B4-BE49-F238E27FC236}">
              <a16:creationId xmlns:a16="http://schemas.microsoft.com/office/drawing/2014/main" id="{1EE881BD-E50D-4F10-87D4-615D8828E0B0}"/>
            </a:ext>
          </a:extLst>
        </xdr:cNvPr>
        <xdr:cNvSpPr txBox="1"/>
      </xdr:nvSpPr>
      <xdr:spPr>
        <a:xfrm>
          <a:off x="6722534" y="1676400"/>
          <a:ext cx="889000" cy="431800"/>
        </a:xfrm>
        <a:prstGeom prst="rect">
          <a:avLst/>
        </a:prstGeom>
        <a:solidFill>
          <a:srgbClr val="FFFFCC"/>
        </a:solidFill>
        <a:ln w="9525" cmpd="sng">
          <a:solidFill>
            <a:srgbClr val="FFFF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003BFE-4BBE-4C90-ABDB-AB840C5A2816}" type="TxLink">
            <a:rPr lang="en-US" sz="2400" b="0" i="0" u="none" strike="noStrike">
              <a:solidFill>
                <a:srgbClr val="000000"/>
              </a:solidFill>
              <a:latin typeface="Times New Roman"/>
              <a:cs typeface="Times New Roman"/>
            </a:rPr>
            <a:pPr/>
            <a:t>3.1K</a:t>
          </a:fld>
          <a:endParaRPr lang="en-IN" sz="1400"/>
        </a:p>
      </xdr:txBody>
    </xdr:sp>
    <xdr:clientData/>
  </xdr:twoCellAnchor>
  <xdr:twoCellAnchor>
    <xdr:from>
      <xdr:col>10</xdr:col>
      <xdr:colOff>237066</xdr:colOff>
      <xdr:row>11</xdr:row>
      <xdr:rowOff>42334</xdr:rowOff>
    </xdr:from>
    <xdr:to>
      <xdr:col>13</xdr:col>
      <xdr:colOff>25401</xdr:colOff>
      <xdr:row>13</xdr:row>
      <xdr:rowOff>8467</xdr:rowOff>
    </xdr:to>
    <xdr:sp macro="" textlink="">
      <xdr:nvSpPr>
        <xdr:cNvPr id="26" name="TextBox 25">
          <a:extLst>
            <a:ext uri="{FF2B5EF4-FFF2-40B4-BE49-F238E27FC236}">
              <a16:creationId xmlns:a16="http://schemas.microsoft.com/office/drawing/2014/main" id="{945ACD2F-8D65-4635-936F-41D20DC13BD6}"/>
            </a:ext>
          </a:extLst>
        </xdr:cNvPr>
        <xdr:cNvSpPr txBox="1"/>
      </xdr:nvSpPr>
      <xdr:spPr>
        <a:xfrm>
          <a:off x="6333066" y="2091267"/>
          <a:ext cx="1617135" cy="338667"/>
        </a:xfrm>
        <a:prstGeom prst="rect">
          <a:avLst/>
        </a:prstGeom>
        <a:solidFill>
          <a:srgbClr val="FFFFCC"/>
        </a:solidFill>
        <a:ln w="9525" cmpd="sng">
          <a:solidFill>
            <a:srgbClr val="FFFF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Times New Roman" panose="02020603050405020304" pitchFamily="18" charset="0"/>
              <a:cs typeface="Times New Roman" panose="02020603050405020304" pitchFamily="18" charset="0"/>
            </a:rPr>
            <a:t>Quantity Sold</a:t>
          </a:r>
        </a:p>
      </xdr:txBody>
    </xdr:sp>
    <xdr:clientData/>
  </xdr:twoCellAnchor>
  <xdr:twoCellAnchor>
    <xdr:from>
      <xdr:col>14</xdr:col>
      <xdr:colOff>245535</xdr:colOff>
      <xdr:row>11</xdr:row>
      <xdr:rowOff>0</xdr:rowOff>
    </xdr:from>
    <xdr:to>
      <xdr:col>15</xdr:col>
      <xdr:colOff>524935</xdr:colOff>
      <xdr:row>13</xdr:row>
      <xdr:rowOff>59266</xdr:rowOff>
    </xdr:to>
    <xdr:sp macro="" textlink="">
      <xdr:nvSpPr>
        <xdr:cNvPr id="27" name="TextBox 26">
          <a:extLst>
            <a:ext uri="{FF2B5EF4-FFF2-40B4-BE49-F238E27FC236}">
              <a16:creationId xmlns:a16="http://schemas.microsoft.com/office/drawing/2014/main" id="{26FBDF62-3AD0-4A07-B984-CD8EDA8C469D}"/>
            </a:ext>
          </a:extLst>
        </xdr:cNvPr>
        <xdr:cNvSpPr txBox="1"/>
      </xdr:nvSpPr>
      <xdr:spPr>
        <a:xfrm>
          <a:off x="8779935" y="2048933"/>
          <a:ext cx="889000" cy="431800"/>
        </a:xfrm>
        <a:prstGeom prst="rect">
          <a:avLst/>
        </a:prstGeom>
        <a:solidFill>
          <a:srgbClr val="FFFFCC"/>
        </a:solidFill>
        <a:ln w="9525" cmpd="sng">
          <a:solidFill>
            <a:srgbClr val="FFFF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latin typeface="Times New Roman" panose="02020603050405020304" pitchFamily="18" charset="0"/>
              <a:cs typeface="Times New Roman" panose="02020603050405020304" pitchFamily="18" charset="0"/>
            </a:rPr>
            <a:t>Rating</a:t>
          </a:r>
        </a:p>
      </xdr:txBody>
    </xdr:sp>
    <xdr:clientData/>
  </xdr:twoCellAnchor>
  <xdr:twoCellAnchor>
    <xdr:from>
      <xdr:col>14</xdr:col>
      <xdr:colOff>245534</xdr:colOff>
      <xdr:row>8</xdr:row>
      <xdr:rowOff>177800</xdr:rowOff>
    </xdr:from>
    <xdr:to>
      <xdr:col>15</xdr:col>
      <xdr:colOff>524934</xdr:colOff>
      <xdr:row>11</xdr:row>
      <xdr:rowOff>50800</xdr:rowOff>
    </xdr:to>
    <xdr:sp macro="" textlink="Sheet3!B16">
      <xdr:nvSpPr>
        <xdr:cNvPr id="28" name="TextBox 27">
          <a:extLst>
            <a:ext uri="{FF2B5EF4-FFF2-40B4-BE49-F238E27FC236}">
              <a16:creationId xmlns:a16="http://schemas.microsoft.com/office/drawing/2014/main" id="{83E8E4DF-AF5E-410C-855E-E61ACE4C9C34}"/>
            </a:ext>
          </a:extLst>
        </xdr:cNvPr>
        <xdr:cNvSpPr txBox="1"/>
      </xdr:nvSpPr>
      <xdr:spPr>
        <a:xfrm>
          <a:off x="8779934" y="1667933"/>
          <a:ext cx="889000" cy="431800"/>
        </a:xfrm>
        <a:prstGeom prst="rect">
          <a:avLst/>
        </a:prstGeom>
        <a:solidFill>
          <a:srgbClr val="FFFFCC"/>
        </a:solidFill>
        <a:ln w="9525" cmpd="sng">
          <a:solidFill>
            <a:srgbClr val="FFFF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2C6690-77E6-43F5-AB11-9D0126FDD561}" type="TxLink">
            <a:rPr lang="en-US" sz="2400" b="0" i="0" u="none" strike="noStrike">
              <a:solidFill>
                <a:srgbClr val="000000"/>
              </a:solidFill>
              <a:latin typeface="Times New Roman"/>
              <a:cs typeface="Times New Roman"/>
            </a:rPr>
            <a:pPr/>
            <a:t> 3.01 </a:t>
          </a:fld>
          <a:endParaRPr lang="en-IN" sz="1400"/>
        </a:p>
      </xdr:txBody>
    </xdr:sp>
    <xdr:clientData/>
  </xdr:twoCellAnchor>
  <xdr:twoCellAnchor>
    <xdr:from>
      <xdr:col>3</xdr:col>
      <xdr:colOff>119742</xdr:colOff>
      <xdr:row>14</xdr:row>
      <xdr:rowOff>161925</xdr:rowOff>
    </xdr:from>
    <xdr:to>
      <xdr:col>10</xdr:col>
      <xdr:colOff>0</xdr:colOff>
      <xdr:row>28</xdr:row>
      <xdr:rowOff>161925</xdr:rowOff>
    </xdr:to>
    <xdr:graphicFrame macro="">
      <xdr:nvGraphicFramePr>
        <xdr:cNvPr id="29" name="Chart 28">
          <a:extLst>
            <a:ext uri="{FF2B5EF4-FFF2-40B4-BE49-F238E27FC236}">
              <a16:creationId xmlns:a16="http://schemas.microsoft.com/office/drawing/2014/main" id="{4C60E8F5-427C-42B2-8542-CC897E1DC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152399</xdr:colOff>
      <xdr:row>14</xdr:row>
      <xdr:rowOff>124580</xdr:rowOff>
    </xdr:from>
    <xdr:to>
      <xdr:col>17</xdr:col>
      <xdr:colOff>43543</xdr:colOff>
      <xdr:row>28</xdr:row>
      <xdr:rowOff>152400</xdr:rowOff>
    </xdr:to>
    <xdr:graphicFrame macro="">
      <xdr:nvGraphicFramePr>
        <xdr:cNvPr id="30" name="Chart 29">
          <a:extLst>
            <a:ext uri="{FF2B5EF4-FFF2-40B4-BE49-F238E27FC236}">
              <a16:creationId xmlns:a16="http://schemas.microsoft.com/office/drawing/2014/main" id="{DFF9A548-11B7-407C-BAAB-090D851DD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31</xdr:row>
      <xdr:rowOff>0</xdr:rowOff>
    </xdr:from>
    <xdr:to>
      <xdr:col>17</xdr:col>
      <xdr:colOff>67735</xdr:colOff>
      <xdr:row>38</xdr:row>
      <xdr:rowOff>171450</xdr:rowOff>
    </xdr:to>
    <xdr:graphicFrame macro="">
      <xdr:nvGraphicFramePr>
        <xdr:cNvPr id="31" name="Chart 30">
          <a:extLst>
            <a:ext uri="{FF2B5EF4-FFF2-40B4-BE49-F238E27FC236}">
              <a16:creationId xmlns:a16="http://schemas.microsoft.com/office/drawing/2014/main" id="{53DE69F5-4178-4B11-9DDA-BEDBEE05D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130629</xdr:colOff>
      <xdr:row>8</xdr:row>
      <xdr:rowOff>65314</xdr:rowOff>
    </xdr:from>
    <xdr:to>
      <xdr:col>23</xdr:col>
      <xdr:colOff>348343</xdr:colOff>
      <xdr:row>22</xdr:row>
      <xdr:rowOff>119743</xdr:rowOff>
    </xdr:to>
    <xdr:graphicFrame macro="">
      <xdr:nvGraphicFramePr>
        <xdr:cNvPr id="32" name="Chart 31">
          <a:extLst>
            <a:ext uri="{FF2B5EF4-FFF2-40B4-BE49-F238E27FC236}">
              <a16:creationId xmlns:a16="http://schemas.microsoft.com/office/drawing/2014/main" id="{105DCBFE-DEC0-4346-8B9E-F21B9ACD0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141514</xdr:colOff>
      <xdr:row>23</xdr:row>
      <xdr:rowOff>108857</xdr:rowOff>
    </xdr:from>
    <xdr:to>
      <xdr:col>23</xdr:col>
      <xdr:colOff>391886</xdr:colOff>
      <xdr:row>39</xdr:row>
      <xdr:rowOff>0</xdr:rowOff>
    </xdr:to>
    <xdr:graphicFrame macro="">
      <xdr:nvGraphicFramePr>
        <xdr:cNvPr id="33" name="Chart 32">
          <a:extLst>
            <a:ext uri="{FF2B5EF4-FFF2-40B4-BE49-F238E27FC236}">
              <a16:creationId xmlns:a16="http://schemas.microsoft.com/office/drawing/2014/main" id="{111E3FC6-034C-4688-9D2A-2D22A95B2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11</xdr:row>
      <xdr:rowOff>93890</xdr:rowOff>
    </xdr:from>
    <xdr:to>
      <xdr:col>2</xdr:col>
      <xdr:colOff>436800</xdr:colOff>
      <xdr:row>31</xdr:row>
      <xdr:rowOff>0</xdr:rowOff>
    </xdr:to>
    <mc:AlternateContent xmlns:mc="http://schemas.openxmlformats.org/markup-compatibility/2006">
      <mc:Choice xmlns:a14="http://schemas.microsoft.com/office/drawing/2010/main" Requires="a14">
        <xdr:graphicFrame macro="">
          <xdr:nvGraphicFramePr>
            <xdr:cNvPr id="34" name="Months (Order Date) 1">
              <a:extLst>
                <a:ext uri="{FF2B5EF4-FFF2-40B4-BE49-F238E27FC236}">
                  <a16:creationId xmlns:a16="http://schemas.microsoft.com/office/drawing/2014/main" id="{418FD0FE-03AE-4BE5-B9F1-94E2DF7D18AF}"/>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dr:sp macro="" textlink="">
          <xdr:nvSpPr>
            <xdr:cNvPr id="0" name=""/>
            <xdr:cNvSpPr>
              <a:spLocks noTextEdit="1"/>
            </xdr:cNvSpPr>
          </xdr:nvSpPr>
          <xdr:spPr>
            <a:xfrm>
              <a:off x="0" y="2084615"/>
              <a:ext cx="1656000" cy="3525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97971</xdr:rowOff>
    </xdr:from>
    <xdr:to>
      <xdr:col>2</xdr:col>
      <xdr:colOff>446314</xdr:colOff>
      <xdr:row>11</xdr:row>
      <xdr:rowOff>75109</xdr:rowOff>
    </xdr:to>
    <mc:AlternateContent xmlns:mc="http://schemas.openxmlformats.org/markup-compatibility/2006">
      <mc:Choice xmlns:a14="http://schemas.microsoft.com/office/drawing/2010/main" Requires="a14">
        <xdr:graphicFrame macro="">
          <xdr:nvGraphicFramePr>
            <xdr:cNvPr id="35" name="Years (Order Date) 1">
              <a:extLst>
                <a:ext uri="{FF2B5EF4-FFF2-40B4-BE49-F238E27FC236}">
                  <a16:creationId xmlns:a16="http://schemas.microsoft.com/office/drawing/2014/main" id="{896EC9BB-7EDA-4467-8AB8-E12CB7E0D5A9}"/>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dr:sp macro="" textlink="">
          <xdr:nvSpPr>
            <xdr:cNvPr id="0" name=""/>
            <xdr:cNvSpPr>
              <a:spLocks noTextEdit="1"/>
            </xdr:cNvSpPr>
          </xdr:nvSpPr>
          <xdr:spPr>
            <a:xfrm>
              <a:off x="0" y="1183821"/>
              <a:ext cx="1665514" cy="8820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31</xdr:row>
      <xdr:rowOff>89809</xdr:rowOff>
    </xdr:from>
    <xdr:to>
      <xdr:col>2</xdr:col>
      <xdr:colOff>436800</xdr:colOff>
      <xdr:row>36</xdr:row>
      <xdr:rowOff>161925</xdr:rowOff>
    </xdr:to>
    <mc:AlternateContent xmlns:mc="http://schemas.openxmlformats.org/markup-compatibility/2006">
      <mc:Choice xmlns:a14="http://schemas.microsoft.com/office/drawing/2010/main" Requires="a14">
        <xdr:graphicFrame macro="">
          <xdr:nvGraphicFramePr>
            <xdr:cNvPr id="8" name="Payment Method">
              <a:extLst>
                <a:ext uri="{FF2B5EF4-FFF2-40B4-BE49-F238E27FC236}">
                  <a16:creationId xmlns:a16="http://schemas.microsoft.com/office/drawing/2014/main" id="{B787A9BA-8EF5-F947-0684-83610D8613E5}"/>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0" y="5700034"/>
              <a:ext cx="1656000" cy="9769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28575</xdr:colOff>
      <xdr:row>0</xdr:row>
      <xdr:rowOff>0</xdr:rowOff>
    </xdr:from>
    <xdr:to>
      <xdr:col>24</xdr:col>
      <xdr:colOff>28575</xdr:colOff>
      <xdr:row>40</xdr:row>
      <xdr:rowOff>0</xdr:rowOff>
    </xdr:to>
    <xdr:sp macro="" textlink="">
      <xdr:nvSpPr>
        <xdr:cNvPr id="9" name="Flowchart: Process 8">
          <a:extLst>
            <a:ext uri="{FF2B5EF4-FFF2-40B4-BE49-F238E27FC236}">
              <a16:creationId xmlns:a16="http://schemas.microsoft.com/office/drawing/2014/main" id="{0D021213-78B9-90DC-1A5C-53C02D24C68E}"/>
            </a:ext>
          </a:extLst>
        </xdr:cNvPr>
        <xdr:cNvSpPr/>
      </xdr:nvSpPr>
      <xdr:spPr>
        <a:xfrm>
          <a:off x="28575" y="0"/>
          <a:ext cx="14630400" cy="7239000"/>
        </a:xfrm>
        <a:prstGeom prst="flowChartProcess">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76200</xdr:colOff>
      <xdr:row>15</xdr:row>
      <xdr:rowOff>0</xdr:rowOff>
    </xdr:from>
    <xdr:to>
      <xdr:col>8</xdr:col>
      <xdr:colOff>266700</xdr:colOff>
      <xdr:row>17</xdr:row>
      <xdr:rowOff>0</xdr:rowOff>
    </xdr:to>
    <xdr:sp macro="" textlink="">
      <xdr:nvSpPr>
        <xdr:cNvPr id="10" name="TextBox 9">
          <a:extLst>
            <a:ext uri="{FF2B5EF4-FFF2-40B4-BE49-F238E27FC236}">
              <a16:creationId xmlns:a16="http://schemas.microsoft.com/office/drawing/2014/main" id="{3F165551-3041-F2A6-BCFC-C9045DBB8370}"/>
            </a:ext>
          </a:extLst>
        </xdr:cNvPr>
        <xdr:cNvSpPr txBox="1"/>
      </xdr:nvSpPr>
      <xdr:spPr>
        <a:xfrm>
          <a:off x="3124200" y="2714625"/>
          <a:ext cx="2019300" cy="361950"/>
        </a:xfrm>
        <a:prstGeom prst="rect">
          <a:avLst/>
        </a:prstGeom>
        <a:noFill/>
        <a:ln w="9525" cmpd="sng">
          <a:solidFill>
            <a:srgbClr val="FFFF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Times New Roman" panose="02020603050405020304" pitchFamily="18" charset="0"/>
              <a:cs typeface="Times New Roman" panose="02020603050405020304" pitchFamily="18" charset="0"/>
            </a:rPr>
            <a:t>Total Price By Category</a:t>
          </a:r>
        </a:p>
      </xdr:txBody>
    </xdr:sp>
    <xdr:clientData/>
  </xdr:twoCellAnchor>
  <xdr:twoCellAnchor>
    <xdr:from>
      <xdr:col>19</xdr:col>
      <xdr:colOff>152400</xdr:colOff>
      <xdr:row>23</xdr:row>
      <xdr:rowOff>152400</xdr:rowOff>
    </xdr:from>
    <xdr:to>
      <xdr:col>22</xdr:col>
      <xdr:colOff>0</xdr:colOff>
      <xdr:row>26</xdr:row>
      <xdr:rowOff>0</xdr:rowOff>
    </xdr:to>
    <xdr:sp macro="" textlink="">
      <xdr:nvSpPr>
        <xdr:cNvPr id="11" name="TextBox 10">
          <a:extLst>
            <a:ext uri="{FF2B5EF4-FFF2-40B4-BE49-F238E27FC236}">
              <a16:creationId xmlns:a16="http://schemas.microsoft.com/office/drawing/2014/main" id="{CA0ED682-6406-4045-B6DF-AA417CF030CB}"/>
            </a:ext>
          </a:extLst>
        </xdr:cNvPr>
        <xdr:cNvSpPr txBox="1"/>
      </xdr:nvSpPr>
      <xdr:spPr>
        <a:xfrm>
          <a:off x="11734800" y="4314825"/>
          <a:ext cx="167640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Times New Roman" panose="02020603050405020304" pitchFamily="18" charset="0"/>
              <a:cs typeface="Times New Roman" panose="02020603050405020304" pitchFamily="18" charset="0"/>
            </a:rPr>
            <a:t>Prices By Months</a:t>
          </a:r>
        </a:p>
      </xdr:txBody>
    </xdr:sp>
    <xdr:clientData/>
  </xdr:twoCellAnchor>
  <xdr:twoCellAnchor>
    <xdr:from>
      <xdr:col>19</xdr:col>
      <xdr:colOff>304800</xdr:colOff>
      <xdr:row>8</xdr:row>
      <xdr:rowOff>0</xdr:rowOff>
    </xdr:from>
    <xdr:to>
      <xdr:col>22</xdr:col>
      <xdr:colOff>0</xdr:colOff>
      <xdr:row>9</xdr:row>
      <xdr:rowOff>57150</xdr:rowOff>
    </xdr:to>
    <xdr:sp macro="" textlink="">
      <xdr:nvSpPr>
        <xdr:cNvPr id="18" name="TextBox 17">
          <a:extLst>
            <a:ext uri="{FF2B5EF4-FFF2-40B4-BE49-F238E27FC236}">
              <a16:creationId xmlns:a16="http://schemas.microsoft.com/office/drawing/2014/main" id="{7342AC51-2CC2-4228-A163-2D52997AF2EF}"/>
            </a:ext>
          </a:extLst>
        </xdr:cNvPr>
        <xdr:cNvSpPr txBox="1"/>
      </xdr:nvSpPr>
      <xdr:spPr>
        <a:xfrm>
          <a:off x="11887200" y="1447800"/>
          <a:ext cx="15240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Times New Roman" panose="02020603050405020304" pitchFamily="18" charset="0"/>
              <a:cs typeface="Times New Roman" panose="02020603050405020304" pitchFamily="18" charset="0"/>
            </a:rPr>
            <a:t>Price Per Year</a:t>
          </a:r>
        </a:p>
      </xdr:txBody>
    </xdr:sp>
    <xdr:clientData/>
  </xdr:twoCellAnchor>
  <xdr:twoCellAnchor>
    <xdr:from>
      <xdr:col>8</xdr:col>
      <xdr:colOff>457200</xdr:colOff>
      <xdr:row>29</xdr:row>
      <xdr:rowOff>95250</xdr:rowOff>
    </xdr:from>
    <xdr:to>
      <xdr:col>12</xdr:col>
      <xdr:colOff>0</xdr:colOff>
      <xdr:row>31</xdr:row>
      <xdr:rowOff>0</xdr:rowOff>
    </xdr:to>
    <xdr:sp macro="" textlink="">
      <xdr:nvSpPr>
        <xdr:cNvPr id="20" name="TextBox 19">
          <a:extLst>
            <a:ext uri="{FF2B5EF4-FFF2-40B4-BE49-F238E27FC236}">
              <a16:creationId xmlns:a16="http://schemas.microsoft.com/office/drawing/2014/main" id="{ECB976C6-31F5-427B-AE14-C936345A8DB9}"/>
            </a:ext>
          </a:extLst>
        </xdr:cNvPr>
        <xdr:cNvSpPr txBox="1"/>
      </xdr:nvSpPr>
      <xdr:spPr>
        <a:xfrm>
          <a:off x="5334000" y="5343525"/>
          <a:ext cx="19812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Times New Roman" panose="02020603050405020304" pitchFamily="18" charset="0"/>
              <a:cs typeface="Times New Roman" panose="02020603050405020304" pitchFamily="18" charset="0"/>
            </a:rPr>
            <a:t>Quantity</a:t>
          </a:r>
          <a:r>
            <a:rPr lang="en-IN" sz="1400" baseline="0">
              <a:latin typeface="Times New Roman" panose="02020603050405020304" pitchFamily="18" charset="0"/>
              <a:cs typeface="Times New Roman" panose="02020603050405020304" pitchFamily="18" charset="0"/>
            </a:rPr>
            <a:t> Sold Per Year</a:t>
          </a:r>
          <a:endParaRPr lang="en-IN" sz="1400">
            <a:latin typeface="Times New Roman" panose="02020603050405020304" pitchFamily="18" charset="0"/>
            <a:cs typeface="Times New Roman" panose="02020603050405020304" pitchFamily="18" charset="0"/>
          </a:endParaRPr>
        </a:p>
      </xdr:txBody>
    </xdr:sp>
    <xdr:clientData/>
  </xdr:twoCellAnchor>
  <xdr:twoCellAnchor>
    <xdr:from>
      <xdr:col>12</xdr:col>
      <xdr:colOff>295275</xdr:colOff>
      <xdr:row>14</xdr:row>
      <xdr:rowOff>114300</xdr:rowOff>
    </xdr:from>
    <xdr:to>
      <xdr:col>15</xdr:col>
      <xdr:colOff>295275</xdr:colOff>
      <xdr:row>16</xdr:row>
      <xdr:rowOff>47625</xdr:rowOff>
    </xdr:to>
    <xdr:sp macro="" textlink="">
      <xdr:nvSpPr>
        <xdr:cNvPr id="36" name="TextBox 35">
          <a:extLst>
            <a:ext uri="{FF2B5EF4-FFF2-40B4-BE49-F238E27FC236}">
              <a16:creationId xmlns:a16="http://schemas.microsoft.com/office/drawing/2014/main" id="{6622C39E-BBE1-49A9-BE48-444F32FDEF1E}"/>
            </a:ext>
          </a:extLst>
        </xdr:cNvPr>
        <xdr:cNvSpPr txBox="1"/>
      </xdr:nvSpPr>
      <xdr:spPr>
        <a:xfrm>
          <a:off x="7610475" y="2647950"/>
          <a:ext cx="18288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Times New Roman" panose="02020603050405020304" pitchFamily="18" charset="0"/>
              <a:cs typeface="Times New Roman" panose="02020603050405020304" pitchFamily="18" charset="0"/>
            </a:rPr>
            <a:t>Total</a:t>
          </a:r>
          <a:r>
            <a:rPr lang="en-IN" sz="1400" baseline="0">
              <a:latin typeface="Times New Roman" panose="02020603050405020304" pitchFamily="18" charset="0"/>
              <a:cs typeface="Times New Roman" panose="02020603050405020304" pitchFamily="18" charset="0"/>
            </a:rPr>
            <a:t> Price By Product</a:t>
          </a:r>
          <a:endParaRPr lang="en-IN" sz="1400">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an" refreshedDate="46179.563798148149" createdVersion="8" refreshedVersion="8" minRefreshableVersion="3" recordCount="1000" xr:uid="{EA083591-734C-45E2-B5F4-E86E7F23ECBA}">
  <cacheSource type="worksheet">
    <worksheetSource ref="A1:I1001" sheet="Sheet1"/>
  </cacheSource>
  <cacheFields count="12">
    <cacheField name="Order ID" numFmtId="0">
      <sharedItems/>
    </cacheField>
    <cacheField name="Product Name" numFmtId="0">
      <sharedItems count="25">
        <s v="Educational Book"/>
        <s v="Jeans"/>
        <s v="Face Cream"/>
        <s v="Smartwatch"/>
        <s v="Cookware Set"/>
        <s v="Mixer Grinder"/>
        <s v="Sneakers"/>
        <s v="Table Lamp"/>
        <s v="Jacket"/>
        <s v="Tablet"/>
        <s v="Perfume"/>
        <s v="Lipstick"/>
        <s v="Smartphone"/>
        <s v="Comic Book"/>
        <s v="Cookbook"/>
        <s v="T-Shirt"/>
        <s v="Bedsheet"/>
        <s v="Hair Dryer"/>
        <s v="Laptop"/>
        <s v="Shampoo"/>
        <s v="Headphones"/>
        <s v="Fiction Novel"/>
        <s v="Self-Help Book"/>
        <s v="Sofa Cover"/>
        <s v="Dress"/>
      </sharedItems>
    </cacheField>
    <cacheField name="Category" numFmtId="0">
      <sharedItems count="5">
        <s v="Books"/>
        <s v="Clothing"/>
        <s v="Beauty"/>
        <s v="Electronics"/>
        <s v="Home &amp; Kitchen"/>
      </sharedItems>
    </cacheField>
    <cacheField name="Price (INR)" numFmtId="0">
      <sharedItems containsSemiMixedTypes="0" containsString="0" containsNumber="1" minValue="139.85" maxValue="49911.75"/>
    </cacheField>
    <cacheField name="Quantity Sold" numFmtId="0">
      <sharedItems containsSemiMixedTypes="0" containsString="0" containsNumber="1" containsInteger="1" minValue="1" maxValue="5"/>
    </cacheField>
    <cacheField name="Total Sales (INR)" numFmtId="0">
      <sharedItems containsSemiMixedTypes="0" containsString="0" containsNumber="1" minValue="419.55" maxValue="243903.9"/>
    </cacheField>
    <cacheField name="Order Date" numFmtId="14">
      <sharedItems containsSemiMixedTypes="0" containsNonDate="0" containsDate="1" containsString="0" minDate="2024-02-12T00:00:00" maxDate="2025-02-10T00:00:00" count="346">
        <d v="2024-09-12T00:00:00"/>
        <d v="2024-12-18T00:00:00"/>
        <d v="2024-05-18T00:00:00"/>
        <d v="2024-11-08T00:00:00"/>
        <d v="2024-12-27T00:00:00"/>
        <d v="2024-10-22T00:00:00"/>
        <d v="2024-07-04T00:00:00"/>
        <d v="2025-01-18T00:00:00"/>
        <d v="2024-03-14T00:00:00"/>
        <d v="2025-02-08T00:00:00"/>
        <d v="2024-04-13T00:00:00"/>
        <d v="2024-02-23T00:00:00"/>
        <d v="2024-06-02T00:00:00"/>
        <d v="2024-03-30T00:00:00"/>
        <d v="2024-04-22T00:00:00"/>
        <d v="2024-03-22T00:00:00"/>
        <d v="2025-01-06T00:00:00"/>
        <d v="2024-07-09T00:00:00"/>
        <d v="2025-01-22T00:00:00"/>
        <d v="2024-06-23T00:00:00"/>
        <d v="2024-03-19T00:00:00"/>
        <d v="2024-11-24T00:00:00"/>
        <d v="2024-07-23T00:00:00"/>
        <d v="2024-08-24T00:00:00"/>
        <d v="2024-07-21T00:00:00"/>
        <d v="2024-04-16T00:00:00"/>
        <d v="2024-08-05T00:00:00"/>
        <d v="2024-04-14T00:00:00"/>
        <d v="2024-10-17T00:00:00"/>
        <d v="2024-10-01T00:00:00"/>
        <d v="2024-07-15T00:00:00"/>
        <d v="2024-05-01T00:00:00"/>
        <d v="2024-06-10T00:00:00"/>
        <d v="2024-06-27T00:00:00"/>
        <d v="2024-07-31T00:00:00"/>
        <d v="2024-10-26T00:00:00"/>
        <d v="2024-02-12T00:00:00"/>
        <d v="2024-06-06T00:00:00"/>
        <d v="2024-12-14T00:00:00"/>
        <d v="2024-10-09T00:00:00"/>
        <d v="2024-02-15T00:00:00"/>
        <d v="2024-07-25T00:00:00"/>
        <d v="2024-06-22T00:00:00"/>
        <d v="2024-11-28T00:00:00"/>
        <d v="2024-08-11T00:00:00"/>
        <d v="2024-09-10T00:00:00"/>
        <d v="2024-10-30T00:00:00"/>
        <d v="2024-11-11T00:00:00"/>
        <d v="2024-11-22T00:00:00"/>
        <d v="2024-10-04T00:00:00"/>
        <d v="2024-04-04T00:00:00"/>
        <d v="2024-09-03T00:00:00"/>
        <d v="2024-05-16T00:00:00"/>
        <d v="2024-08-30T00:00:00"/>
        <d v="2024-06-13T00:00:00"/>
        <d v="2024-07-28T00:00:00"/>
        <d v="2024-07-10T00:00:00"/>
        <d v="2025-01-02T00:00:00"/>
        <d v="2024-12-22T00:00:00"/>
        <d v="2024-05-06T00:00:00"/>
        <d v="2024-02-26T00:00:00"/>
        <d v="2024-04-08T00:00:00"/>
        <d v="2024-04-28T00:00:00"/>
        <d v="2024-03-24T00:00:00"/>
        <d v="2024-07-05T00:00:00"/>
        <d v="2024-09-07T00:00:00"/>
        <d v="2024-02-13T00:00:00"/>
        <d v="2024-08-25T00:00:00"/>
        <d v="2024-03-25T00:00:00"/>
        <d v="2024-06-30T00:00:00"/>
        <d v="2024-07-16T00:00:00"/>
        <d v="2025-02-09T00:00:00"/>
        <d v="2024-12-10T00:00:00"/>
        <d v="2024-11-07T00:00:00"/>
        <d v="2024-12-03T00:00:00"/>
        <d v="2024-10-27T00:00:00"/>
        <d v="2024-05-30T00:00:00"/>
        <d v="2024-04-12T00:00:00"/>
        <d v="2024-06-28T00:00:00"/>
        <d v="2024-09-24T00:00:00"/>
        <d v="2024-04-01T00:00:00"/>
        <d v="2024-11-23T00:00:00"/>
        <d v="2024-05-23T00:00:00"/>
        <d v="2025-01-12T00:00:00"/>
        <d v="2025-01-28T00:00:00"/>
        <d v="2024-05-31T00:00:00"/>
        <d v="2025-02-02T00:00:00"/>
        <d v="2024-12-06T00:00:00"/>
        <d v="2024-09-05T00:00:00"/>
        <d v="2024-07-07T00:00:00"/>
        <d v="2024-07-14T00:00:00"/>
        <d v="2024-09-22T00:00:00"/>
        <d v="2024-05-10T00:00:00"/>
        <d v="2024-05-04T00:00:00"/>
        <d v="2024-06-25T00:00:00"/>
        <d v="2024-08-04T00:00:00"/>
        <d v="2024-09-11T00:00:00"/>
        <d v="2024-12-23T00:00:00"/>
        <d v="2024-10-07T00:00:00"/>
        <d v="2024-05-25T00:00:00"/>
        <d v="2024-07-18T00:00:00"/>
        <d v="2025-01-15T00:00:00"/>
        <d v="2024-05-27T00:00:00"/>
        <d v="2024-03-21T00:00:00"/>
        <d v="2024-04-21T00:00:00"/>
        <d v="2024-09-13T00:00:00"/>
        <d v="2024-08-26T00:00:00"/>
        <d v="2024-10-02T00:00:00"/>
        <d v="2024-05-02T00:00:00"/>
        <d v="2024-08-10T00:00:00"/>
        <d v="2024-06-17T00:00:00"/>
        <d v="2025-01-11T00:00:00"/>
        <d v="2024-04-20T00:00:00"/>
        <d v="2024-06-01T00:00:00"/>
        <d v="2024-10-28T00:00:00"/>
        <d v="2025-02-03T00:00:00"/>
        <d v="2025-01-01T00:00:00"/>
        <d v="2025-01-27T00:00:00"/>
        <d v="2024-09-19T00:00:00"/>
        <d v="2024-03-04T00:00:00"/>
        <d v="2024-05-11T00:00:00"/>
        <d v="2024-08-21T00:00:00"/>
        <d v="2024-09-27T00:00:00"/>
        <d v="2024-12-31T00:00:00"/>
        <d v="2024-02-20T00:00:00"/>
        <d v="2024-03-23T00:00:00"/>
        <d v="2024-11-21T00:00:00"/>
        <d v="2025-01-05T00:00:00"/>
        <d v="2024-08-06T00:00:00"/>
        <d v="2024-10-18T00:00:00"/>
        <d v="2024-12-20T00:00:00"/>
        <d v="2024-04-11T00:00:00"/>
        <d v="2024-11-29T00:00:00"/>
        <d v="2024-06-03T00:00:00"/>
        <d v="2025-01-14T00:00:00"/>
        <d v="2024-07-22T00:00:00"/>
        <d v="2024-07-29T00:00:00"/>
        <d v="2025-01-24T00:00:00"/>
        <d v="2024-12-04T00:00:00"/>
        <d v="2024-03-05T00:00:00"/>
        <d v="2024-08-31T00:00:00"/>
        <d v="2024-12-02T00:00:00"/>
        <d v="2024-03-06T00:00:00"/>
        <d v="2024-12-19T00:00:00"/>
        <d v="2024-08-02T00:00:00"/>
        <d v="2024-05-14T00:00:00"/>
        <d v="2024-09-04T00:00:00"/>
        <d v="2024-05-09T00:00:00"/>
        <d v="2024-02-18T00:00:00"/>
        <d v="2024-09-30T00:00:00"/>
        <d v="2024-07-11T00:00:00"/>
        <d v="2024-10-24T00:00:00"/>
        <d v="2024-10-16T00:00:00"/>
        <d v="2024-08-23T00:00:00"/>
        <d v="2024-03-27T00:00:00"/>
        <d v="2024-11-02T00:00:00"/>
        <d v="2024-09-02T00:00:00"/>
        <d v="2024-10-05T00:00:00"/>
        <d v="2024-04-05T00:00:00"/>
        <d v="2024-11-14T00:00:00"/>
        <d v="2024-12-26T00:00:00"/>
        <d v="2024-06-08T00:00:00"/>
        <d v="2024-09-18T00:00:00"/>
        <d v="2024-07-19T00:00:00"/>
        <d v="2024-04-06T00:00:00"/>
        <d v="2025-01-30T00:00:00"/>
        <d v="2024-12-28T00:00:00"/>
        <d v="2024-05-20T00:00:00"/>
        <d v="2024-09-09T00:00:00"/>
        <d v="2024-10-19T00:00:00"/>
        <d v="2024-06-18T00:00:00"/>
        <d v="2024-11-13T00:00:00"/>
        <d v="2024-08-12T00:00:00"/>
        <d v="2024-08-17T00:00:00"/>
        <d v="2024-05-15T00:00:00"/>
        <d v="2024-06-16T00:00:00"/>
        <d v="2024-06-15T00:00:00"/>
        <d v="2024-11-04T00:00:00"/>
        <d v="2025-02-01T00:00:00"/>
        <d v="2024-03-28T00:00:00"/>
        <d v="2024-12-11T00:00:00"/>
        <d v="2024-09-15T00:00:00"/>
        <d v="2024-02-24T00:00:00"/>
        <d v="2024-11-15T00:00:00"/>
        <d v="2024-08-16T00:00:00"/>
        <d v="2024-10-06T00:00:00"/>
        <d v="2024-09-01T00:00:00"/>
        <d v="2024-09-06T00:00:00"/>
        <d v="2024-05-22T00:00:00"/>
        <d v="2024-03-03T00:00:00"/>
        <d v="2024-05-19T00:00:00"/>
        <d v="2024-12-12T00:00:00"/>
        <d v="2024-03-26T00:00:00"/>
        <d v="2024-08-09T00:00:00"/>
        <d v="2024-02-21T00:00:00"/>
        <d v="2024-05-29T00:00:00"/>
        <d v="2024-07-13T00:00:00"/>
        <d v="2025-02-07T00:00:00"/>
        <d v="2024-04-02T00:00:00"/>
        <d v="2025-01-23T00:00:00"/>
        <d v="2025-01-10T00:00:00"/>
        <d v="2024-11-09T00:00:00"/>
        <d v="2024-11-10T00:00:00"/>
        <d v="2024-04-27T00:00:00"/>
        <d v="2025-02-06T00:00:00"/>
        <d v="2024-07-02T00:00:00"/>
        <d v="2024-11-05T00:00:00"/>
        <d v="2024-11-01T00:00:00"/>
        <d v="2024-11-25T00:00:00"/>
        <d v="2024-12-08T00:00:00"/>
        <d v="2024-09-20T00:00:00"/>
        <d v="2024-06-21T00:00:00"/>
        <d v="2024-07-08T00:00:00"/>
        <d v="2024-03-07T00:00:00"/>
        <d v="2024-11-30T00:00:00"/>
        <d v="2024-10-13T00:00:00"/>
        <d v="2024-10-10T00:00:00"/>
        <d v="2024-04-07T00:00:00"/>
        <d v="2024-02-19T00:00:00"/>
        <d v="2025-01-08T00:00:00"/>
        <d v="2024-04-03T00:00:00"/>
        <d v="2025-01-29T00:00:00"/>
        <d v="2024-08-27T00:00:00"/>
        <d v="2024-02-28T00:00:00"/>
        <d v="2024-06-05T00:00:00"/>
        <d v="2024-08-14T00:00:00"/>
        <d v="2024-05-03T00:00:00"/>
        <d v="2025-01-25T00:00:00"/>
        <d v="2024-09-28T00:00:00"/>
        <d v="2024-10-15T00:00:00"/>
        <d v="2024-12-30T00:00:00"/>
        <d v="2024-03-09T00:00:00"/>
        <d v="2024-03-20T00:00:00"/>
        <d v="2024-03-15T00:00:00"/>
        <d v="2024-09-21T00:00:00"/>
        <d v="2024-05-26T00:00:00"/>
        <d v="2024-11-26T00:00:00"/>
        <d v="2024-05-28T00:00:00"/>
        <d v="2025-01-07T00:00:00"/>
        <d v="2024-04-17T00:00:00"/>
        <d v="2024-06-12T00:00:00"/>
        <d v="2024-05-12T00:00:00"/>
        <d v="2024-07-03T00:00:00"/>
        <d v="2025-01-19T00:00:00"/>
        <d v="2024-02-17T00:00:00"/>
        <d v="2024-07-17T00:00:00"/>
        <d v="2024-06-04T00:00:00"/>
        <d v="2024-03-12T00:00:00"/>
        <d v="2024-03-10T00:00:00"/>
        <d v="2024-04-19T00:00:00"/>
        <d v="2024-08-13T00:00:00"/>
        <d v="2024-07-27T00:00:00"/>
        <d v="2024-04-15T00:00:00"/>
        <d v="2024-12-16T00:00:00"/>
        <d v="2024-12-09T00:00:00"/>
        <d v="2024-08-18T00:00:00"/>
        <d v="2024-06-09T00:00:00"/>
        <d v="2024-10-25T00:00:00"/>
        <d v="2024-08-20T00:00:00"/>
        <d v="2024-02-22T00:00:00"/>
        <d v="2024-05-05T00:00:00"/>
        <d v="2024-03-13T00:00:00"/>
        <d v="2024-04-10T00:00:00"/>
        <d v="2024-03-31T00:00:00"/>
        <d v="2024-04-23T00:00:00"/>
        <d v="2024-03-17T00:00:00"/>
        <d v="2024-09-16T00:00:00"/>
        <d v="2024-05-24T00:00:00"/>
        <d v="2024-11-27T00:00:00"/>
        <d v="2024-04-26T00:00:00"/>
        <d v="2024-07-12T00:00:00"/>
        <d v="2024-06-20T00:00:00"/>
        <d v="2024-07-24T00:00:00"/>
        <d v="2024-09-29T00:00:00"/>
        <d v="2024-12-15T00:00:00"/>
        <d v="2024-11-16T00:00:00"/>
        <d v="2024-03-02T00:00:00"/>
        <d v="2024-10-31T00:00:00"/>
        <d v="2024-11-19T00:00:00"/>
        <d v="2024-11-03T00:00:00"/>
        <d v="2024-04-24T00:00:00"/>
        <d v="2024-06-26T00:00:00"/>
        <d v="2025-01-21T00:00:00"/>
        <d v="2024-09-26T00:00:00"/>
        <d v="2024-05-13T00:00:00"/>
        <d v="2024-04-30T00:00:00"/>
        <d v="2024-12-29T00:00:00"/>
        <d v="2024-08-07T00:00:00"/>
        <d v="2024-05-17T00:00:00"/>
        <d v="2024-09-23T00:00:00"/>
        <d v="2024-12-25T00:00:00"/>
        <d v="2024-06-19T00:00:00"/>
        <d v="2025-01-16T00:00:00"/>
        <d v="2024-05-08T00:00:00"/>
        <d v="2024-04-29T00:00:00"/>
        <d v="2025-02-05T00:00:00"/>
        <d v="2024-07-06T00:00:00"/>
        <d v="2025-01-17T00:00:00"/>
        <d v="2024-07-20T00:00:00"/>
        <d v="2024-08-29T00:00:00"/>
        <d v="2024-06-14T00:00:00"/>
        <d v="2024-08-08T00:00:00"/>
        <d v="2024-10-29T00:00:00"/>
        <d v="2024-04-25T00:00:00"/>
        <d v="2024-11-17T00:00:00"/>
        <d v="2024-03-01T00:00:00"/>
        <d v="2024-03-16T00:00:00"/>
        <d v="2024-09-08T00:00:00"/>
        <d v="2024-11-12T00:00:00"/>
        <d v="2025-01-26T00:00:00"/>
        <d v="2024-05-21T00:00:00"/>
        <d v="2024-02-27T00:00:00"/>
        <d v="2024-07-30T00:00:00"/>
        <d v="2024-05-07T00:00:00"/>
        <d v="2024-02-25T00:00:00"/>
        <d v="2024-10-12T00:00:00"/>
        <d v="2024-03-18T00:00:00"/>
        <d v="2024-11-06T00:00:00"/>
        <d v="2024-10-14T00:00:00"/>
        <d v="2024-02-14T00:00:00"/>
        <d v="2024-07-26T00:00:00"/>
        <d v="2024-09-14T00:00:00"/>
        <d v="2024-12-01T00:00:00"/>
        <d v="2024-10-21T00:00:00"/>
        <d v="2024-10-20T00:00:00"/>
        <d v="2024-12-13T00:00:00"/>
        <d v="2024-08-28T00:00:00"/>
        <d v="2024-08-01T00:00:00"/>
        <d v="2024-04-09T00:00:00"/>
        <d v="2024-12-05T00:00:00"/>
        <d v="2024-11-20T00:00:00"/>
        <d v="2024-08-15T00:00:00"/>
        <d v="2025-01-03T00:00:00"/>
        <d v="2025-01-13T00:00:00"/>
        <d v="2024-10-23T00:00:00"/>
        <d v="2024-04-18T00:00:00"/>
        <d v="2024-03-29T00:00:00"/>
        <d v="2024-02-29T00:00:00"/>
        <d v="2024-06-07T00:00:00"/>
        <d v="2024-08-22T00:00:00"/>
        <d v="2024-06-24T00:00:00"/>
        <d v="2025-02-04T00:00:00"/>
        <d v="2024-10-03T00:00:00"/>
        <d v="2024-03-11T00:00:00"/>
        <d v="2025-01-04T00:00:00"/>
        <d v="2024-03-08T00:00:00"/>
      </sharedItems>
      <fieldGroup par="11"/>
    </cacheField>
    <cacheField name="Payment Method" numFmtId="0">
      <sharedItems count="6">
        <s v="Debit Card"/>
        <s v="UPI"/>
        <s v="Wallet"/>
        <s v="COD"/>
        <s v="Credit Card"/>
        <s v="Net Banking"/>
      </sharedItems>
    </cacheField>
    <cacheField name="Customer Rating" numFmtId="0">
      <sharedItems containsSemiMixedTypes="0" containsString="0" containsNumber="1" minValue="1" maxValue="5" count="41">
        <n v="3.5"/>
        <n v="3.9"/>
        <n v="4.4000000000000004"/>
        <n v="3.2"/>
        <n v="3.1"/>
        <n v="1.7"/>
        <n v="2"/>
        <n v="2.4"/>
        <n v="2.6"/>
        <n v="4"/>
        <n v="2.2999999999999998"/>
        <n v="1.3"/>
        <n v="1.2"/>
        <n v="3.7"/>
        <n v="1.6"/>
        <n v="2.5"/>
        <n v="4.5"/>
        <n v="4.3"/>
        <n v="2.8"/>
        <n v="1.1000000000000001"/>
        <n v="3.4"/>
        <n v="2.2000000000000002"/>
        <n v="3.6"/>
        <n v="1.4"/>
        <n v="4.2"/>
        <n v="4.7"/>
        <n v="3.3"/>
        <n v="4.0999999999999996"/>
        <n v="3.8"/>
        <n v="2.7"/>
        <n v="1.9"/>
        <n v="1.8"/>
        <n v="3"/>
        <n v="4.5999999999999996"/>
        <n v="1"/>
        <n v="4.9000000000000004"/>
        <n v="2.9"/>
        <n v="2.1"/>
        <n v="4.8"/>
        <n v="1.5"/>
        <n v="5"/>
      </sharedItems>
    </cacheField>
    <cacheField name="Months (Order Date)" numFmtId="0" databaseField="0">
      <fieldGroup base="6">
        <rangePr groupBy="months" startDate="2024-02-12T00:00:00" endDate="2025-02-10T00:00:00"/>
        <groupItems count="14">
          <s v="&lt;12-02-2024"/>
          <s v="Jan"/>
          <s v="Feb"/>
          <s v="Mar"/>
          <s v="Apr"/>
          <s v="May"/>
          <s v="Jun"/>
          <s v="Jul"/>
          <s v="Aug"/>
          <s v="Sep"/>
          <s v="Oct"/>
          <s v="Nov"/>
          <s v="Dec"/>
          <s v="&gt;10-02-2025"/>
        </groupItems>
      </fieldGroup>
    </cacheField>
    <cacheField name="Quarters (Order Date)" numFmtId="0" databaseField="0">
      <fieldGroup base="6">
        <rangePr groupBy="quarters" startDate="2024-02-12T00:00:00" endDate="2025-02-10T00:00:00"/>
        <groupItems count="6">
          <s v="&lt;12-02-2024"/>
          <s v="Qtr1"/>
          <s v="Qtr2"/>
          <s v="Qtr3"/>
          <s v="Qtr4"/>
          <s v="&gt;10-02-2025"/>
        </groupItems>
      </fieldGroup>
    </cacheField>
    <cacheField name="Years (Order Date)" numFmtId="0" databaseField="0">
      <fieldGroup base="6">
        <rangePr groupBy="years" startDate="2024-02-12T00:00:00" endDate="2025-02-10T00:00:00"/>
        <groupItems count="4">
          <s v="&lt;12-02-2024"/>
          <s v="2024"/>
          <s v="2025"/>
          <s v="&gt;10-02-2025"/>
        </groupItems>
      </fieldGroup>
    </cacheField>
  </cacheFields>
  <extLst>
    <ext xmlns:x14="http://schemas.microsoft.com/office/spreadsheetml/2009/9/main" uri="{725AE2AE-9491-48be-B2B4-4EB974FC3084}">
      <x14:pivotCacheDefinition pivotCacheId="21186121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01"/>
    <x v="0"/>
    <x v="0"/>
    <n v="49069.56"/>
    <n v="2"/>
    <n v="98139.12"/>
    <x v="0"/>
    <x v="0"/>
    <x v="0"/>
  </r>
  <r>
    <s v="ORD00002"/>
    <x v="1"/>
    <x v="1"/>
    <n v="12755.85"/>
    <n v="4"/>
    <n v="51023.4"/>
    <x v="1"/>
    <x v="1"/>
    <x v="1"/>
  </r>
  <r>
    <s v="ORD00003"/>
    <x v="2"/>
    <x v="2"/>
    <n v="11092.19"/>
    <n v="4"/>
    <n v="44368.76"/>
    <x v="2"/>
    <x v="0"/>
    <x v="2"/>
  </r>
  <r>
    <s v="ORD00004"/>
    <x v="3"/>
    <x v="3"/>
    <n v="32657.81"/>
    <n v="1"/>
    <n v="32657.81"/>
    <x v="3"/>
    <x v="0"/>
    <x v="3"/>
  </r>
  <r>
    <s v="ORD00005"/>
    <x v="4"/>
    <x v="4"/>
    <n v="26590.080000000002"/>
    <n v="3"/>
    <n v="79770.240000000005"/>
    <x v="4"/>
    <x v="1"/>
    <x v="4"/>
  </r>
  <r>
    <s v="ORD00006"/>
    <x v="5"/>
    <x v="4"/>
    <n v="10475.030000000001"/>
    <n v="2"/>
    <n v="20950.060000000001"/>
    <x v="5"/>
    <x v="2"/>
    <x v="5"/>
  </r>
  <r>
    <s v="ORD00007"/>
    <x v="6"/>
    <x v="1"/>
    <n v="38647.72"/>
    <n v="3"/>
    <n v="115943.16"/>
    <x v="6"/>
    <x v="2"/>
    <x v="6"/>
  </r>
  <r>
    <s v="ORD00008"/>
    <x v="7"/>
    <x v="4"/>
    <n v="24818.59"/>
    <n v="3"/>
    <n v="74455.77"/>
    <x v="4"/>
    <x v="0"/>
    <x v="7"/>
  </r>
  <r>
    <s v="ORD00009"/>
    <x v="8"/>
    <x v="1"/>
    <n v="1987.39"/>
    <n v="2"/>
    <n v="3974.78"/>
    <x v="7"/>
    <x v="0"/>
    <x v="8"/>
  </r>
  <r>
    <s v="ORD00010"/>
    <x v="9"/>
    <x v="3"/>
    <n v="26876.51"/>
    <n v="2"/>
    <n v="53753.02"/>
    <x v="8"/>
    <x v="0"/>
    <x v="9"/>
  </r>
  <r>
    <s v="ORD00011"/>
    <x v="10"/>
    <x v="2"/>
    <n v="46409.57"/>
    <n v="5"/>
    <n v="232047.85"/>
    <x v="9"/>
    <x v="1"/>
    <x v="10"/>
  </r>
  <r>
    <s v="ORD00012"/>
    <x v="11"/>
    <x v="2"/>
    <n v="48780.78"/>
    <n v="5"/>
    <n v="243903.9"/>
    <x v="10"/>
    <x v="1"/>
    <x v="11"/>
  </r>
  <r>
    <s v="ORD00013"/>
    <x v="0"/>
    <x v="0"/>
    <n v="6670.82"/>
    <n v="5"/>
    <n v="33354.1"/>
    <x v="11"/>
    <x v="3"/>
    <x v="12"/>
  </r>
  <r>
    <s v="ORD00014"/>
    <x v="12"/>
    <x v="3"/>
    <n v="10826.05"/>
    <n v="1"/>
    <n v="10826.05"/>
    <x v="12"/>
    <x v="2"/>
    <x v="13"/>
  </r>
  <r>
    <s v="ORD00015"/>
    <x v="13"/>
    <x v="0"/>
    <n v="6839.1"/>
    <n v="1"/>
    <n v="6839.1"/>
    <x v="0"/>
    <x v="4"/>
    <x v="14"/>
  </r>
  <r>
    <s v="ORD00016"/>
    <x v="5"/>
    <x v="4"/>
    <n v="18197.89"/>
    <n v="5"/>
    <n v="90989.45"/>
    <x v="13"/>
    <x v="0"/>
    <x v="14"/>
  </r>
  <r>
    <s v="ORD00017"/>
    <x v="14"/>
    <x v="0"/>
    <n v="20817.46"/>
    <n v="2"/>
    <n v="41634.92"/>
    <x v="13"/>
    <x v="0"/>
    <x v="10"/>
  </r>
  <r>
    <s v="ORD00018"/>
    <x v="10"/>
    <x v="2"/>
    <n v="44061.25"/>
    <n v="4"/>
    <n v="176245"/>
    <x v="14"/>
    <x v="3"/>
    <x v="15"/>
  </r>
  <r>
    <s v="ORD00019"/>
    <x v="14"/>
    <x v="0"/>
    <n v="4398.59"/>
    <n v="5"/>
    <n v="21992.95"/>
    <x v="15"/>
    <x v="2"/>
    <x v="9"/>
  </r>
  <r>
    <s v="ORD00020"/>
    <x v="15"/>
    <x v="1"/>
    <n v="32565.77"/>
    <n v="5"/>
    <n v="162828.85"/>
    <x v="16"/>
    <x v="3"/>
    <x v="2"/>
  </r>
  <r>
    <s v="ORD00021"/>
    <x v="4"/>
    <x v="4"/>
    <n v="47529.36"/>
    <n v="1"/>
    <n v="47529.36"/>
    <x v="17"/>
    <x v="5"/>
    <x v="16"/>
  </r>
  <r>
    <s v="ORD00022"/>
    <x v="1"/>
    <x v="1"/>
    <n v="37129.730000000003"/>
    <n v="3"/>
    <n v="111389.19"/>
    <x v="18"/>
    <x v="2"/>
    <x v="17"/>
  </r>
  <r>
    <s v="ORD00023"/>
    <x v="0"/>
    <x v="0"/>
    <n v="48258.19"/>
    <n v="4"/>
    <n v="193032.76"/>
    <x v="19"/>
    <x v="1"/>
    <x v="14"/>
  </r>
  <r>
    <s v="ORD00024"/>
    <x v="16"/>
    <x v="4"/>
    <n v="32505.96"/>
    <n v="1"/>
    <n v="32505.96"/>
    <x v="20"/>
    <x v="2"/>
    <x v="18"/>
  </r>
  <r>
    <s v="ORD00025"/>
    <x v="4"/>
    <x v="4"/>
    <n v="4165.6400000000003"/>
    <n v="2"/>
    <n v="8331.2800000000007"/>
    <x v="21"/>
    <x v="3"/>
    <x v="19"/>
  </r>
  <r>
    <s v="ORD00026"/>
    <x v="15"/>
    <x v="1"/>
    <n v="2053.11"/>
    <n v="4"/>
    <n v="8212.44"/>
    <x v="22"/>
    <x v="3"/>
    <x v="20"/>
  </r>
  <r>
    <s v="ORD00027"/>
    <x v="1"/>
    <x v="1"/>
    <n v="38927.620000000003"/>
    <n v="4"/>
    <n v="155710.48000000001"/>
    <x v="23"/>
    <x v="2"/>
    <x v="15"/>
  </r>
  <r>
    <s v="ORD00028"/>
    <x v="5"/>
    <x v="4"/>
    <n v="28978.47"/>
    <n v="4"/>
    <n v="115913.88"/>
    <x v="24"/>
    <x v="1"/>
    <x v="10"/>
  </r>
  <r>
    <s v="ORD00029"/>
    <x v="11"/>
    <x v="2"/>
    <n v="21293.42"/>
    <n v="5"/>
    <n v="106467.1"/>
    <x v="25"/>
    <x v="2"/>
    <x v="21"/>
  </r>
  <r>
    <s v="ORD00030"/>
    <x v="11"/>
    <x v="2"/>
    <n v="49097.01"/>
    <n v="4"/>
    <n v="196388.04"/>
    <x v="26"/>
    <x v="4"/>
    <x v="13"/>
  </r>
  <r>
    <s v="ORD00031"/>
    <x v="10"/>
    <x v="2"/>
    <n v="47651.19"/>
    <n v="1"/>
    <n v="47651.19"/>
    <x v="27"/>
    <x v="5"/>
    <x v="22"/>
  </r>
  <r>
    <s v="ORD00032"/>
    <x v="17"/>
    <x v="2"/>
    <n v="15046.01"/>
    <n v="5"/>
    <n v="75230.05"/>
    <x v="28"/>
    <x v="3"/>
    <x v="19"/>
  </r>
  <r>
    <s v="ORD00033"/>
    <x v="18"/>
    <x v="3"/>
    <n v="36980.1"/>
    <n v="3"/>
    <n v="110940.3"/>
    <x v="29"/>
    <x v="3"/>
    <x v="3"/>
  </r>
  <r>
    <s v="ORD00034"/>
    <x v="7"/>
    <x v="4"/>
    <n v="38144.67"/>
    <n v="2"/>
    <n v="76289.34"/>
    <x v="30"/>
    <x v="5"/>
    <x v="4"/>
  </r>
  <r>
    <s v="ORD00035"/>
    <x v="18"/>
    <x v="3"/>
    <n v="49355.45"/>
    <n v="2"/>
    <n v="98710.9"/>
    <x v="31"/>
    <x v="3"/>
    <x v="0"/>
  </r>
  <r>
    <s v="ORD00036"/>
    <x v="19"/>
    <x v="2"/>
    <n v="12945.96"/>
    <n v="3"/>
    <n v="38837.879999999997"/>
    <x v="32"/>
    <x v="2"/>
    <x v="23"/>
  </r>
  <r>
    <s v="ORD00037"/>
    <x v="10"/>
    <x v="2"/>
    <n v="34927.79"/>
    <n v="4"/>
    <n v="139711.16"/>
    <x v="33"/>
    <x v="4"/>
    <x v="19"/>
  </r>
  <r>
    <s v="ORD00038"/>
    <x v="7"/>
    <x v="4"/>
    <n v="3677.4"/>
    <n v="3"/>
    <n v="11032.2"/>
    <x v="34"/>
    <x v="1"/>
    <x v="13"/>
  </r>
  <r>
    <s v="ORD00039"/>
    <x v="13"/>
    <x v="0"/>
    <n v="37004.54"/>
    <n v="4"/>
    <n v="148018.16"/>
    <x v="35"/>
    <x v="0"/>
    <x v="9"/>
  </r>
  <r>
    <s v="ORD00040"/>
    <x v="14"/>
    <x v="0"/>
    <n v="27961.78"/>
    <n v="5"/>
    <n v="139808.9"/>
    <x v="11"/>
    <x v="5"/>
    <x v="9"/>
  </r>
  <r>
    <s v="ORD00041"/>
    <x v="13"/>
    <x v="0"/>
    <n v="2655.8"/>
    <n v="2"/>
    <n v="5311.6"/>
    <x v="36"/>
    <x v="5"/>
    <x v="13"/>
  </r>
  <r>
    <s v="ORD00042"/>
    <x v="20"/>
    <x v="3"/>
    <n v="965.51"/>
    <n v="4"/>
    <n v="3862.04"/>
    <x v="37"/>
    <x v="3"/>
    <x v="0"/>
  </r>
  <r>
    <s v="ORD00043"/>
    <x v="16"/>
    <x v="4"/>
    <n v="2980.08"/>
    <n v="3"/>
    <n v="8940.24"/>
    <x v="38"/>
    <x v="5"/>
    <x v="24"/>
  </r>
  <r>
    <s v="ORD00044"/>
    <x v="5"/>
    <x v="4"/>
    <n v="8598.58"/>
    <n v="1"/>
    <n v="8598.58"/>
    <x v="39"/>
    <x v="0"/>
    <x v="19"/>
  </r>
  <r>
    <s v="ORD00045"/>
    <x v="19"/>
    <x v="2"/>
    <n v="31850.15"/>
    <n v="2"/>
    <n v="63700.3"/>
    <x v="27"/>
    <x v="5"/>
    <x v="18"/>
  </r>
  <r>
    <s v="ORD00046"/>
    <x v="3"/>
    <x v="3"/>
    <n v="33443.32"/>
    <n v="5"/>
    <n v="167216.6"/>
    <x v="40"/>
    <x v="1"/>
    <x v="7"/>
  </r>
  <r>
    <s v="ORD00047"/>
    <x v="8"/>
    <x v="1"/>
    <n v="29592.5"/>
    <n v="5"/>
    <n v="147962.5"/>
    <x v="41"/>
    <x v="5"/>
    <x v="25"/>
  </r>
  <r>
    <s v="ORD00048"/>
    <x v="17"/>
    <x v="2"/>
    <n v="11187.38"/>
    <n v="4"/>
    <n v="44749.52"/>
    <x v="42"/>
    <x v="2"/>
    <x v="10"/>
  </r>
  <r>
    <s v="ORD00049"/>
    <x v="16"/>
    <x v="4"/>
    <n v="23898.58"/>
    <n v="5"/>
    <n v="119492.9"/>
    <x v="43"/>
    <x v="4"/>
    <x v="26"/>
  </r>
  <r>
    <s v="ORD00050"/>
    <x v="13"/>
    <x v="0"/>
    <n v="1391.49"/>
    <n v="4"/>
    <n v="5565.96"/>
    <x v="44"/>
    <x v="4"/>
    <x v="16"/>
  </r>
  <r>
    <s v="ORD00051"/>
    <x v="1"/>
    <x v="1"/>
    <n v="18607.689999999999"/>
    <n v="5"/>
    <n v="93038.45"/>
    <x v="45"/>
    <x v="3"/>
    <x v="7"/>
  </r>
  <r>
    <s v="ORD00052"/>
    <x v="21"/>
    <x v="0"/>
    <n v="46224.88"/>
    <n v="3"/>
    <n v="138674.64000000001"/>
    <x v="46"/>
    <x v="4"/>
    <x v="27"/>
  </r>
  <r>
    <s v="ORD00053"/>
    <x v="9"/>
    <x v="3"/>
    <n v="11864.13"/>
    <n v="5"/>
    <n v="59320.65"/>
    <x v="47"/>
    <x v="0"/>
    <x v="11"/>
  </r>
  <r>
    <s v="ORD00054"/>
    <x v="13"/>
    <x v="0"/>
    <n v="7757.2"/>
    <n v="5"/>
    <n v="38786"/>
    <x v="48"/>
    <x v="2"/>
    <x v="21"/>
  </r>
  <r>
    <s v="ORD00055"/>
    <x v="3"/>
    <x v="3"/>
    <n v="29745"/>
    <n v="1"/>
    <n v="29745"/>
    <x v="49"/>
    <x v="1"/>
    <x v="22"/>
  </r>
  <r>
    <s v="ORD00056"/>
    <x v="1"/>
    <x v="1"/>
    <n v="39176.54"/>
    <n v="5"/>
    <n v="195882.7"/>
    <x v="50"/>
    <x v="5"/>
    <x v="27"/>
  </r>
  <r>
    <s v="ORD00057"/>
    <x v="1"/>
    <x v="1"/>
    <n v="18075.189999999999"/>
    <n v="5"/>
    <n v="90375.95"/>
    <x v="51"/>
    <x v="0"/>
    <x v="5"/>
  </r>
  <r>
    <s v="ORD00058"/>
    <x v="22"/>
    <x v="0"/>
    <n v="18830.59"/>
    <n v="4"/>
    <n v="75322.36"/>
    <x v="52"/>
    <x v="5"/>
    <x v="22"/>
  </r>
  <r>
    <s v="ORD00059"/>
    <x v="20"/>
    <x v="3"/>
    <n v="38476.480000000003"/>
    <n v="4"/>
    <n v="153905.92000000001"/>
    <x v="53"/>
    <x v="4"/>
    <x v="6"/>
  </r>
  <r>
    <s v="ORD00060"/>
    <x v="18"/>
    <x v="3"/>
    <n v="27120.36"/>
    <n v="2"/>
    <n v="54240.72"/>
    <x v="54"/>
    <x v="4"/>
    <x v="28"/>
  </r>
  <r>
    <s v="ORD00061"/>
    <x v="14"/>
    <x v="0"/>
    <n v="31627"/>
    <n v="5"/>
    <n v="158135"/>
    <x v="55"/>
    <x v="0"/>
    <x v="4"/>
  </r>
  <r>
    <s v="ORD00062"/>
    <x v="13"/>
    <x v="0"/>
    <n v="14505.79"/>
    <n v="3"/>
    <n v="43517.37"/>
    <x v="56"/>
    <x v="1"/>
    <x v="1"/>
  </r>
  <r>
    <s v="ORD00063"/>
    <x v="3"/>
    <x v="3"/>
    <n v="15229.67"/>
    <n v="3"/>
    <n v="45689.01"/>
    <x v="24"/>
    <x v="4"/>
    <x v="29"/>
  </r>
  <r>
    <s v="ORD00064"/>
    <x v="7"/>
    <x v="4"/>
    <n v="2158.12"/>
    <n v="3"/>
    <n v="6474.36"/>
    <x v="57"/>
    <x v="3"/>
    <x v="20"/>
  </r>
  <r>
    <s v="ORD00065"/>
    <x v="11"/>
    <x v="2"/>
    <n v="11106.19"/>
    <n v="2"/>
    <n v="22212.38"/>
    <x v="58"/>
    <x v="2"/>
    <x v="19"/>
  </r>
  <r>
    <s v="ORD00066"/>
    <x v="0"/>
    <x v="0"/>
    <n v="21690.55"/>
    <n v="2"/>
    <n v="43381.1"/>
    <x v="43"/>
    <x v="4"/>
    <x v="30"/>
  </r>
  <r>
    <s v="ORD00067"/>
    <x v="17"/>
    <x v="2"/>
    <n v="4225.6899999999996"/>
    <n v="4"/>
    <n v="16902.759999999998"/>
    <x v="59"/>
    <x v="4"/>
    <x v="15"/>
  </r>
  <r>
    <s v="ORD00068"/>
    <x v="3"/>
    <x v="3"/>
    <n v="23621.02"/>
    <n v="1"/>
    <n v="23621.02"/>
    <x v="60"/>
    <x v="2"/>
    <x v="25"/>
  </r>
  <r>
    <s v="ORD00069"/>
    <x v="0"/>
    <x v="0"/>
    <n v="38937.919999999998"/>
    <n v="3"/>
    <n v="116813.75999999999"/>
    <x v="61"/>
    <x v="4"/>
    <x v="20"/>
  </r>
  <r>
    <s v="ORD00070"/>
    <x v="4"/>
    <x v="4"/>
    <n v="2707.97"/>
    <n v="1"/>
    <n v="2707.97"/>
    <x v="62"/>
    <x v="5"/>
    <x v="12"/>
  </r>
  <r>
    <s v="ORD00071"/>
    <x v="2"/>
    <x v="2"/>
    <n v="23715.42"/>
    <n v="4"/>
    <n v="94861.68"/>
    <x v="63"/>
    <x v="3"/>
    <x v="6"/>
  </r>
  <r>
    <s v="ORD00072"/>
    <x v="9"/>
    <x v="3"/>
    <n v="9083.5"/>
    <n v="2"/>
    <n v="18167"/>
    <x v="64"/>
    <x v="1"/>
    <x v="31"/>
  </r>
  <r>
    <s v="ORD00073"/>
    <x v="11"/>
    <x v="2"/>
    <n v="26379.35"/>
    <n v="4"/>
    <n v="105517.4"/>
    <x v="65"/>
    <x v="1"/>
    <x v="32"/>
  </r>
  <r>
    <s v="ORD00074"/>
    <x v="8"/>
    <x v="1"/>
    <n v="34023.96"/>
    <n v="3"/>
    <n v="102071.88"/>
    <x v="66"/>
    <x v="4"/>
    <x v="33"/>
  </r>
  <r>
    <s v="ORD00075"/>
    <x v="6"/>
    <x v="1"/>
    <n v="1542.1"/>
    <n v="4"/>
    <n v="6168.4"/>
    <x v="67"/>
    <x v="4"/>
    <x v="34"/>
  </r>
  <r>
    <s v="ORD00076"/>
    <x v="21"/>
    <x v="0"/>
    <n v="42981.08"/>
    <n v="3"/>
    <n v="128943.24"/>
    <x v="68"/>
    <x v="3"/>
    <x v="28"/>
  </r>
  <r>
    <s v="ORD00077"/>
    <x v="23"/>
    <x v="4"/>
    <n v="46338.29"/>
    <n v="5"/>
    <n v="231691.45"/>
    <x v="15"/>
    <x v="3"/>
    <x v="20"/>
  </r>
  <r>
    <s v="ORD00078"/>
    <x v="20"/>
    <x v="3"/>
    <n v="34161.440000000002"/>
    <n v="1"/>
    <n v="34161.440000000002"/>
    <x v="69"/>
    <x v="2"/>
    <x v="7"/>
  </r>
  <r>
    <s v="ORD00079"/>
    <x v="11"/>
    <x v="2"/>
    <n v="21317.31"/>
    <n v="5"/>
    <n v="106586.55"/>
    <x v="70"/>
    <x v="4"/>
    <x v="9"/>
  </r>
  <r>
    <s v="ORD00080"/>
    <x v="2"/>
    <x v="2"/>
    <n v="46011.839999999997"/>
    <n v="4"/>
    <n v="184047.35999999999"/>
    <x v="31"/>
    <x v="3"/>
    <x v="26"/>
  </r>
  <r>
    <s v="ORD00081"/>
    <x v="10"/>
    <x v="2"/>
    <n v="2097.9899999999998"/>
    <n v="1"/>
    <n v="2097.9899999999998"/>
    <x v="71"/>
    <x v="0"/>
    <x v="3"/>
  </r>
  <r>
    <s v="ORD00082"/>
    <x v="12"/>
    <x v="3"/>
    <n v="17104.91"/>
    <n v="3"/>
    <n v="51314.73"/>
    <x v="72"/>
    <x v="4"/>
    <x v="29"/>
  </r>
  <r>
    <s v="ORD00083"/>
    <x v="23"/>
    <x v="4"/>
    <n v="29326.6"/>
    <n v="3"/>
    <n v="87979.8"/>
    <x v="73"/>
    <x v="4"/>
    <x v="35"/>
  </r>
  <r>
    <s v="ORD00084"/>
    <x v="20"/>
    <x v="3"/>
    <n v="28892.73"/>
    <n v="4"/>
    <n v="115570.92"/>
    <x v="47"/>
    <x v="3"/>
    <x v="11"/>
  </r>
  <r>
    <s v="ORD00085"/>
    <x v="9"/>
    <x v="3"/>
    <n v="35033.120000000003"/>
    <n v="4"/>
    <n v="140132.48000000001"/>
    <x v="74"/>
    <x v="1"/>
    <x v="25"/>
  </r>
  <r>
    <s v="ORD00086"/>
    <x v="1"/>
    <x v="1"/>
    <n v="40069.300000000003"/>
    <n v="3"/>
    <n v="120207.9"/>
    <x v="75"/>
    <x v="0"/>
    <x v="7"/>
  </r>
  <r>
    <s v="ORD00087"/>
    <x v="13"/>
    <x v="0"/>
    <n v="20613.14"/>
    <n v="4"/>
    <n v="82452.56"/>
    <x v="76"/>
    <x v="1"/>
    <x v="20"/>
  </r>
  <r>
    <s v="ORD00088"/>
    <x v="4"/>
    <x v="4"/>
    <n v="3432"/>
    <n v="5"/>
    <n v="17160"/>
    <x v="77"/>
    <x v="4"/>
    <x v="20"/>
  </r>
  <r>
    <s v="ORD00089"/>
    <x v="19"/>
    <x v="2"/>
    <n v="25752.65"/>
    <n v="3"/>
    <n v="77257.95"/>
    <x v="78"/>
    <x v="5"/>
    <x v="15"/>
  </r>
  <r>
    <s v="ORD00090"/>
    <x v="3"/>
    <x v="3"/>
    <n v="30238.47"/>
    <n v="2"/>
    <n v="60476.94"/>
    <x v="79"/>
    <x v="5"/>
    <x v="9"/>
  </r>
  <r>
    <s v="ORD00091"/>
    <x v="16"/>
    <x v="4"/>
    <n v="34293.379999999997"/>
    <n v="4"/>
    <n v="137173.51999999999"/>
    <x v="80"/>
    <x v="5"/>
    <x v="2"/>
  </r>
  <r>
    <s v="ORD00092"/>
    <x v="10"/>
    <x v="2"/>
    <n v="19498.32"/>
    <n v="2"/>
    <n v="38996.639999999999"/>
    <x v="81"/>
    <x v="4"/>
    <x v="22"/>
  </r>
  <r>
    <s v="ORD00093"/>
    <x v="15"/>
    <x v="1"/>
    <n v="39355.589999999997"/>
    <n v="1"/>
    <n v="39355.589999999997"/>
    <x v="5"/>
    <x v="2"/>
    <x v="36"/>
  </r>
  <r>
    <s v="ORD00094"/>
    <x v="14"/>
    <x v="0"/>
    <n v="26575.86"/>
    <n v="2"/>
    <n v="53151.72"/>
    <x v="82"/>
    <x v="2"/>
    <x v="6"/>
  </r>
  <r>
    <s v="ORD00095"/>
    <x v="20"/>
    <x v="3"/>
    <n v="12506.31"/>
    <n v="3"/>
    <n v="37518.93"/>
    <x v="83"/>
    <x v="1"/>
    <x v="23"/>
  </r>
  <r>
    <s v="ORD00096"/>
    <x v="15"/>
    <x v="1"/>
    <n v="19180.77"/>
    <n v="3"/>
    <n v="57542.31"/>
    <x v="84"/>
    <x v="2"/>
    <x v="1"/>
  </r>
  <r>
    <s v="ORD00097"/>
    <x v="16"/>
    <x v="4"/>
    <n v="8877.51"/>
    <n v="5"/>
    <n v="44387.55"/>
    <x v="85"/>
    <x v="1"/>
    <x v="15"/>
  </r>
  <r>
    <s v="ORD00098"/>
    <x v="6"/>
    <x v="1"/>
    <n v="32348.92"/>
    <n v="2"/>
    <n v="64697.84"/>
    <x v="86"/>
    <x v="4"/>
    <x v="4"/>
  </r>
  <r>
    <s v="ORD00099"/>
    <x v="3"/>
    <x v="3"/>
    <n v="19375.759999999998"/>
    <n v="2"/>
    <n v="38751.519999999997"/>
    <x v="87"/>
    <x v="4"/>
    <x v="37"/>
  </r>
  <r>
    <s v="ORD00100"/>
    <x v="0"/>
    <x v="0"/>
    <n v="48157.93"/>
    <n v="1"/>
    <n v="48157.93"/>
    <x v="88"/>
    <x v="3"/>
    <x v="7"/>
  </r>
  <r>
    <s v="ORD00101"/>
    <x v="18"/>
    <x v="3"/>
    <n v="4360.05"/>
    <n v="4"/>
    <n v="17440.2"/>
    <x v="7"/>
    <x v="2"/>
    <x v="26"/>
  </r>
  <r>
    <s v="ORD00102"/>
    <x v="8"/>
    <x v="1"/>
    <n v="38093.14"/>
    <n v="1"/>
    <n v="38093.14"/>
    <x v="5"/>
    <x v="4"/>
    <x v="32"/>
  </r>
  <r>
    <s v="ORD00103"/>
    <x v="0"/>
    <x v="0"/>
    <n v="32788.199999999997"/>
    <n v="5"/>
    <n v="163941"/>
    <x v="89"/>
    <x v="4"/>
    <x v="9"/>
  </r>
  <r>
    <s v="ORD00104"/>
    <x v="13"/>
    <x v="0"/>
    <n v="42715.55"/>
    <n v="1"/>
    <n v="42715.55"/>
    <x v="90"/>
    <x v="4"/>
    <x v="2"/>
  </r>
  <r>
    <s v="ORD00105"/>
    <x v="10"/>
    <x v="2"/>
    <n v="28758.42"/>
    <n v="5"/>
    <n v="143792.1"/>
    <x v="91"/>
    <x v="5"/>
    <x v="13"/>
  </r>
  <r>
    <s v="ORD00106"/>
    <x v="0"/>
    <x v="0"/>
    <n v="22555.21"/>
    <n v="2"/>
    <n v="45110.42"/>
    <x v="92"/>
    <x v="1"/>
    <x v="17"/>
  </r>
  <r>
    <s v="ORD00107"/>
    <x v="24"/>
    <x v="1"/>
    <n v="33613.18"/>
    <n v="1"/>
    <n v="33613.18"/>
    <x v="23"/>
    <x v="2"/>
    <x v="0"/>
  </r>
  <r>
    <s v="ORD00108"/>
    <x v="15"/>
    <x v="1"/>
    <n v="44639"/>
    <n v="5"/>
    <n v="223195"/>
    <x v="93"/>
    <x v="4"/>
    <x v="19"/>
  </r>
  <r>
    <s v="ORD00109"/>
    <x v="1"/>
    <x v="1"/>
    <n v="11785.4"/>
    <n v="5"/>
    <n v="58927"/>
    <x v="94"/>
    <x v="2"/>
    <x v="14"/>
  </r>
  <r>
    <s v="ORD00110"/>
    <x v="22"/>
    <x v="0"/>
    <n v="30826.720000000001"/>
    <n v="1"/>
    <n v="30826.720000000001"/>
    <x v="95"/>
    <x v="1"/>
    <x v="1"/>
  </r>
  <r>
    <s v="ORD00111"/>
    <x v="8"/>
    <x v="1"/>
    <n v="35811.1"/>
    <n v="4"/>
    <n v="143244.4"/>
    <x v="96"/>
    <x v="5"/>
    <x v="30"/>
  </r>
  <r>
    <s v="ORD00112"/>
    <x v="19"/>
    <x v="2"/>
    <n v="45387.99"/>
    <n v="3"/>
    <n v="136163.97"/>
    <x v="97"/>
    <x v="3"/>
    <x v="38"/>
  </r>
  <r>
    <s v="ORD00113"/>
    <x v="23"/>
    <x v="4"/>
    <n v="39263.94"/>
    <n v="5"/>
    <n v="196319.7"/>
    <x v="26"/>
    <x v="2"/>
    <x v="28"/>
  </r>
  <r>
    <s v="ORD00114"/>
    <x v="0"/>
    <x v="0"/>
    <n v="19787.61"/>
    <n v="1"/>
    <n v="19787.61"/>
    <x v="98"/>
    <x v="0"/>
    <x v="1"/>
  </r>
  <r>
    <s v="ORD00115"/>
    <x v="8"/>
    <x v="1"/>
    <n v="26219.99"/>
    <n v="4"/>
    <n v="104879.96"/>
    <x v="8"/>
    <x v="0"/>
    <x v="37"/>
  </r>
  <r>
    <s v="ORD00116"/>
    <x v="11"/>
    <x v="2"/>
    <n v="14286.02"/>
    <n v="4"/>
    <n v="57144.08"/>
    <x v="99"/>
    <x v="1"/>
    <x v="13"/>
  </r>
  <r>
    <s v="ORD00117"/>
    <x v="15"/>
    <x v="1"/>
    <n v="13019.07"/>
    <n v="3"/>
    <n v="39057.21"/>
    <x v="86"/>
    <x v="4"/>
    <x v="18"/>
  </r>
  <r>
    <s v="ORD00118"/>
    <x v="2"/>
    <x v="2"/>
    <n v="43488.42"/>
    <n v="3"/>
    <n v="130465.26"/>
    <x v="100"/>
    <x v="5"/>
    <x v="32"/>
  </r>
  <r>
    <s v="ORD00119"/>
    <x v="14"/>
    <x v="0"/>
    <n v="30903.49"/>
    <n v="4"/>
    <n v="123613.96"/>
    <x v="45"/>
    <x v="5"/>
    <x v="5"/>
  </r>
  <r>
    <s v="ORD00120"/>
    <x v="7"/>
    <x v="4"/>
    <n v="37405.46"/>
    <n v="4"/>
    <n v="149621.84"/>
    <x v="101"/>
    <x v="2"/>
    <x v="11"/>
  </r>
  <r>
    <s v="ORD00121"/>
    <x v="9"/>
    <x v="3"/>
    <n v="30593.67"/>
    <n v="4"/>
    <n v="122374.68"/>
    <x v="2"/>
    <x v="3"/>
    <x v="39"/>
  </r>
  <r>
    <s v="ORD00122"/>
    <x v="20"/>
    <x v="3"/>
    <n v="28688.25"/>
    <n v="3"/>
    <n v="86064.75"/>
    <x v="102"/>
    <x v="1"/>
    <x v="7"/>
  </r>
  <r>
    <s v="ORD00123"/>
    <x v="17"/>
    <x v="2"/>
    <n v="12158.96"/>
    <n v="3"/>
    <n v="36476.879999999997"/>
    <x v="103"/>
    <x v="5"/>
    <x v="19"/>
  </r>
  <r>
    <s v="ORD00124"/>
    <x v="20"/>
    <x v="3"/>
    <n v="24500.05"/>
    <n v="3"/>
    <n v="73500.149999999994"/>
    <x v="104"/>
    <x v="4"/>
    <x v="2"/>
  </r>
  <r>
    <s v="ORD00125"/>
    <x v="7"/>
    <x v="4"/>
    <n v="44412.88"/>
    <n v="3"/>
    <n v="133238.64000000001"/>
    <x v="105"/>
    <x v="3"/>
    <x v="23"/>
  </r>
  <r>
    <s v="ORD00126"/>
    <x v="12"/>
    <x v="3"/>
    <n v="26615.97"/>
    <n v="3"/>
    <n v="79847.91"/>
    <x v="106"/>
    <x v="5"/>
    <x v="22"/>
  </r>
  <r>
    <s v="ORD00127"/>
    <x v="8"/>
    <x v="1"/>
    <n v="3979.4"/>
    <n v="1"/>
    <n v="3979.4"/>
    <x v="107"/>
    <x v="0"/>
    <x v="33"/>
  </r>
  <r>
    <s v="ORD00128"/>
    <x v="10"/>
    <x v="2"/>
    <n v="49687.49"/>
    <n v="2"/>
    <n v="99374.98"/>
    <x v="108"/>
    <x v="1"/>
    <x v="15"/>
  </r>
  <r>
    <s v="ORD00129"/>
    <x v="18"/>
    <x v="3"/>
    <n v="11289.42"/>
    <n v="3"/>
    <n v="33868.26"/>
    <x v="109"/>
    <x v="1"/>
    <x v="10"/>
  </r>
  <r>
    <s v="ORD00130"/>
    <x v="24"/>
    <x v="1"/>
    <n v="27309.73"/>
    <n v="3"/>
    <n v="81929.19"/>
    <x v="110"/>
    <x v="5"/>
    <x v="9"/>
  </r>
  <r>
    <s v="ORD00131"/>
    <x v="18"/>
    <x v="3"/>
    <n v="30374.400000000001"/>
    <n v="5"/>
    <n v="151872"/>
    <x v="111"/>
    <x v="5"/>
    <x v="31"/>
  </r>
  <r>
    <s v="ORD00132"/>
    <x v="19"/>
    <x v="2"/>
    <n v="15486.41"/>
    <n v="4"/>
    <n v="61945.64"/>
    <x v="112"/>
    <x v="3"/>
    <x v="40"/>
  </r>
  <r>
    <s v="ORD00133"/>
    <x v="3"/>
    <x v="3"/>
    <n v="33698.339999999997"/>
    <n v="1"/>
    <n v="33698.339999999997"/>
    <x v="109"/>
    <x v="0"/>
    <x v="24"/>
  </r>
  <r>
    <s v="ORD00134"/>
    <x v="24"/>
    <x v="1"/>
    <n v="42987.64"/>
    <n v="5"/>
    <n v="214938.2"/>
    <x v="13"/>
    <x v="2"/>
    <x v="13"/>
  </r>
  <r>
    <s v="ORD00135"/>
    <x v="3"/>
    <x v="3"/>
    <n v="1104.25"/>
    <n v="5"/>
    <n v="5521.25"/>
    <x v="43"/>
    <x v="1"/>
    <x v="28"/>
  </r>
  <r>
    <s v="ORD00136"/>
    <x v="8"/>
    <x v="1"/>
    <n v="14043.16"/>
    <n v="4"/>
    <n v="56172.639999999999"/>
    <x v="113"/>
    <x v="2"/>
    <x v="4"/>
  </r>
  <r>
    <s v="ORD00137"/>
    <x v="14"/>
    <x v="0"/>
    <n v="24032.880000000001"/>
    <n v="1"/>
    <n v="24032.880000000001"/>
    <x v="114"/>
    <x v="2"/>
    <x v="28"/>
  </r>
  <r>
    <s v="ORD00138"/>
    <x v="2"/>
    <x v="2"/>
    <n v="32283.58"/>
    <n v="3"/>
    <n v="96850.74"/>
    <x v="57"/>
    <x v="3"/>
    <x v="2"/>
  </r>
  <r>
    <s v="ORD00139"/>
    <x v="11"/>
    <x v="2"/>
    <n v="3848.54"/>
    <n v="1"/>
    <n v="3848.54"/>
    <x v="115"/>
    <x v="5"/>
    <x v="33"/>
  </r>
  <r>
    <s v="ORD00140"/>
    <x v="4"/>
    <x v="4"/>
    <n v="48175.48"/>
    <n v="1"/>
    <n v="48175.48"/>
    <x v="56"/>
    <x v="3"/>
    <x v="39"/>
  </r>
  <r>
    <s v="ORD00141"/>
    <x v="9"/>
    <x v="3"/>
    <n v="2273.0100000000002"/>
    <n v="2"/>
    <n v="4546.0200000000004"/>
    <x v="116"/>
    <x v="1"/>
    <x v="17"/>
  </r>
  <r>
    <s v="ORD00142"/>
    <x v="8"/>
    <x v="1"/>
    <n v="48346.41"/>
    <n v="3"/>
    <n v="145039.23000000001"/>
    <x v="117"/>
    <x v="0"/>
    <x v="23"/>
  </r>
  <r>
    <s v="ORD00143"/>
    <x v="7"/>
    <x v="4"/>
    <n v="8383.86"/>
    <n v="2"/>
    <n v="16767.72"/>
    <x v="118"/>
    <x v="2"/>
    <x v="4"/>
  </r>
  <r>
    <s v="ORD00144"/>
    <x v="19"/>
    <x v="2"/>
    <n v="15344.02"/>
    <n v="1"/>
    <n v="15344.02"/>
    <x v="52"/>
    <x v="1"/>
    <x v="9"/>
  </r>
  <r>
    <s v="ORD00145"/>
    <x v="12"/>
    <x v="3"/>
    <n v="49142.57"/>
    <n v="4"/>
    <n v="196570.28"/>
    <x v="119"/>
    <x v="1"/>
    <x v="35"/>
  </r>
  <r>
    <s v="ORD00146"/>
    <x v="22"/>
    <x v="0"/>
    <n v="45182.27"/>
    <n v="5"/>
    <n v="225911.35"/>
    <x v="13"/>
    <x v="0"/>
    <x v="4"/>
  </r>
  <r>
    <s v="ORD00147"/>
    <x v="8"/>
    <x v="1"/>
    <n v="18309.060000000001"/>
    <n v="2"/>
    <n v="36618.120000000003"/>
    <x v="120"/>
    <x v="5"/>
    <x v="30"/>
  </r>
  <r>
    <s v="ORD00148"/>
    <x v="3"/>
    <x v="3"/>
    <n v="33021.1"/>
    <n v="4"/>
    <n v="132084.4"/>
    <x v="121"/>
    <x v="0"/>
    <x v="2"/>
  </r>
  <r>
    <s v="ORD00149"/>
    <x v="8"/>
    <x v="1"/>
    <n v="42814.17"/>
    <n v="5"/>
    <n v="214070.85"/>
    <x v="122"/>
    <x v="0"/>
    <x v="24"/>
  </r>
  <r>
    <s v="ORD00150"/>
    <x v="10"/>
    <x v="2"/>
    <n v="5293.87"/>
    <n v="2"/>
    <n v="10587.74"/>
    <x v="123"/>
    <x v="0"/>
    <x v="29"/>
  </r>
  <r>
    <s v="ORD00151"/>
    <x v="21"/>
    <x v="0"/>
    <n v="16596.580000000002"/>
    <n v="5"/>
    <n v="82982.899999999994"/>
    <x v="86"/>
    <x v="1"/>
    <x v="37"/>
  </r>
  <r>
    <s v="ORD00152"/>
    <x v="6"/>
    <x v="1"/>
    <n v="48940.95"/>
    <n v="1"/>
    <n v="48940.95"/>
    <x v="124"/>
    <x v="5"/>
    <x v="34"/>
  </r>
  <r>
    <s v="ORD00153"/>
    <x v="1"/>
    <x v="1"/>
    <n v="10059.450000000001"/>
    <n v="5"/>
    <n v="50297.25"/>
    <x v="125"/>
    <x v="3"/>
    <x v="17"/>
  </r>
  <r>
    <s v="ORD00154"/>
    <x v="10"/>
    <x v="2"/>
    <n v="4820.8"/>
    <n v="1"/>
    <n v="4820.8"/>
    <x v="72"/>
    <x v="2"/>
    <x v="17"/>
  </r>
  <r>
    <s v="ORD00155"/>
    <x v="14"/>
    <x v="0"/>
    <n v="12087.35"/>
    <n v="4"/>
    <n v="48349.4"/>
    <x v="126"/>
    <x v="1"/>
    <x v="8"/>
  </r>
  <r>
    <s v="ORD00156"/>
    <x v="2"/>
    <x v="2"/>
    <n v="43522.080000000002"/>
    <n v="5"/>
    <n v="217610.4"/>
    <x v="96"/>
    <x v="3"/>
    <x v="38"/>
  </r>
  <r>
    <s v="ORD00157"/>
    <x v="3"/>
    <x v="3"/>
    <n v="42409.26"/>
    <n v="1"/>
    <n v="42409.26"/>
    <x v="67"/>
    <x v="0"/>
    <x v="6"/>
  </r>
  <r>
    <s v="ORD00158"/>
    <x v="21"/>
    <x v="0"/>
    <n v="29882.47"/>
    <n v="5"/>
    <n v="149412.35"/>
    <x v="42"/>
    <x v="2"/>
    <x v="25"/>
  </r>
  <r>
    <s v="ORD00159"/>
    <x v="3"/>
    <x v="3"/>
    <n v="40233.279999999999"/>
    <n v="5"/>
    <n v="201166.4"/>
    <x v="127"/>
    <x v="2"/>
    <x v="30"/>
  </r>
  <r>
    <s v="ORD00160"/>
    <x v="23"/>
    <x v="4"/>
    <n v="15357.36"/>
    <n v="4"/>
    <n v="61429.440000000002"/>
    <x v="128"/>
    <x v="0"/>
    <x v="14"/>
  </r>
  <r>
    <s v="ORD00161"/>
    <x v="22"/>
    <x v="0"/>
    <n v="10565.57"/>
    <n v="4"/>
    <n v="42262.28"/>
    <x v="6"/>
    <x v="5"/>
    <x v="39"/>
  </r>
  <r>
    <s v="ORD00162"/>
    <x v="21"/>
    <x v="0"/>
    <n v="42533.26"/>
    <n v="4"/>
    <n v="170133.04"/>
    <x v="43"/>
    <x v="0"/>
    <x v="33"/>
  </r>
  <r>
    <s v="ORD00163"/>
    <x v="5"/>
    <x v="4"/>
    <n v="18426.900000000001"/>
    <n v="4"/>
    <n v="73707.600000000006"/>
    <x v="129"/>
    <x v="0"/>
    <x v="25"/>
  </r>
  <r>
    <s v="ORD00164"/>
    <x v="10"/>
    <x v="2"/>
    <n v="23369.23"/>
    <n v="1"/>
    <n v="23369.23"/>
    <x v="81"/>
    <x v="4"/>
    <x v="39"/>
  </r>
  <r>
    <s v="ORD00165"/>
    <x v="10"/>
    <x v="2"/>
    <n v="2735.32"/>
    <n v="5"/>
    <n v="13676.6"/>
    <x v="130"/>
    <x v="2"/>
    <x v="8"/>
  </r>
  <r>
    <s v="ORD00166"/>
    <x v="18"/>
    <x v="3"/>
    <n v="48944.01"/>
    <n v="3"/>
    <n v="146832.03"/>
    <x v="6"/>
    <x v="3"/>
    <x v="24"/>
  </r>
  <r>
    <s v="ORD00167"/>
    <x v="17"/>
    <x v="2"/>
    <n v="32590.46"/>
    <n v="2"/>
    <n v="65180.92"/>
    <x v="131"/>
    <x v="5"/>
    <x v="7"/>
  </r>
  <r>
    <s v="ORD00168"/>
    <x v="17"/>
    <x v="2"/>
    <n v="35286.97"/>
    <n v="2"/>
    <n v="70573.94"/>
    <x v="39"/>
    <x v="5"/>
    <x v="26"/>
  </r>
  <r>
    <s v="ORD00169"/>
    <x v="21"/>
    <x v="0"/>
    <n v="42881.03"/>
    <n v="3"/>
    <n v="128643.09"/>
    <x v="132"/>
    <x v="5"/>
    <x v="2"/>
  </r>
  <r>
    <s v="ORD00170"/>
    <x v="19"/>
    <x v="2"/>
    <n v="28246.25"/>
    <n v="2"/>
    <n v="56492.5"/>
    <x v="133"/>
    <x v="5"/>
    <x v="10"/>
  </r>
  <r>
    <s v="ORD00171"/>
    <x v="19"/>
    <x v="2"/>
    <n v="24619.84"/>
    <n v="2"/>
    <n v="49239.68"/>
    <x v="87"/>
    <x v="0"/>
    <x v="27"/>
  </r>
  <r>
    <s v="ORD00172"/>
    <x v="24"/>
    <x v="1"/>
    <n v="12083.96"/>
    <n v="3"/>
    <n v="36251.879999999997"/>
    <x v="81"/>
    <x v="2"/>
    <x v="32"/>
  </r>
  <r>
    <s v="ORD00173"/>
    <x v="22"/>
    <x v="0"/>
    <n v="12214.72"/>
    <n v="5"/>
    <n v="61073.599999999999"/>
    <x v="134"/>
    <x v="1"/>
    <x v="37"/>
  </r>
  <r>
    <s v="ORD00174"/>
    <x v="21"/>
    <x v="0"/>
    <n v="19386.27"/>
    <n v="1"/>
    <n v="19386.27"/>
    <x v="70"/>
    <x v="3"/>
    <x v="27"/>
  </r>
  <r>
    <s v="ORD00175"/>
    <x v="0"/>
    <x v="0"/>
    <n v="34879.4"/>
    <n v="3"/>
    <n v="104638.2"/>
    <x v="77"/>
    <x v="1"/>
    <x v="15"/>
  </r>
  <r>
    <s v="ORD00176"/>
    <x v="18"/>
    <x v="3"/>
    <n v="32016.11"/>
    <n v="5"/>
    <n v="160080.54999999999"/>
    <x v="122"/>
    <x v="0"/>
    <x v="17"/>
  </r>
  <r>
    <s v="ORD00177"/>
    <x v="15"/>
    <x v="1"/>
    <n v="32264.17"/>
    <n v="1"/>
    <n v="32264.17"/>
    <x v="135"/>
    <x v="5"/>
    <x v="27"/>
  </r>
  <r>
    <s v="ORD00178"/>
    <x v="19"/>
    <x v="2"/>
    <n v="30171.74"/>
    <n v="4"/>
    <n v="120686.96"/>
    <x v="136"/>
    <x v="5"/>
    <x v="28"/>
  </r>
  <r>
    <s v="ORD00179"/>
    <x v="24"/>
    <x v="1"/>
    <n v="22712.18"/>
    <n v="5"/>
    <n v="113560.9"/>
    <x v="137"/>
    <x v="3"/>
    <x v="1"/>
  </r>
  <r>
    <s v="ORD00180"/>
    <x v="13"/>
    <x v="0"/>
    <n v="27204.69"/>
    <n v="1"/>
    <n v="27204.69"/>
    <x v="71"/>
    <x v="0"/>
    <x v="18"/>
  </r>
  <r>
    <s v="ORD00181"/>
    <x v="0"/>
    <x v="0"/>
    <n v="17353.47"/>
    <n v="1"/>
    <n v="17353.47"/>
    <x v="138"/>
    <x v="4"/>
    <x v="8"/>
  </r>
  <r>
    <s v="ORD00182"/>
    <x v="23"/>
    <x v="4"/>
    <n v="44882.2"/>
    <n v="1"/>
    <n v="44882.2"/>
    <x v="120"/>
    <x v="3"/>
    <x v="11"/>
  </r>
  <r>
    <s v="ORD00183"/>
    <x v="23"/>
    <x v="4"/>
    <n v="47002.720000000001"/>
    <n v="3"/>
    <n v="141008.16"/>
    <x v="139"/>
    <x v="0"/>
    <x v="27"/>
  </r>
  <r>
    <s v="ORD00184"/>
    <x v="11"/>
    <x v="2"/>
    <n v="33659.67"/>
    <n v="4"/>
    <n v="134638.68"/>
    <x v="64"/>
    <x v="2"/>
    <x v="26"/>
  </r>
  <r>
    <s v="ORD00185"/>
    <x v="23"/>
    <x v="4"/>
    <n v="13011.44"/>
    <n v="2"/>
    <n v="26022.880000000001"/>
    <x v="94"/>
    <x v="2"/>
    <x v="35"/>
  </r>
  <r>
    <s v="ORD00186"/>
    <x v="12"/>
    <x v="3"/>
    <n v="21990.25"/>
    <n v="3"/>
    <n v="65970.75"/>
    <x v="83"/>
    <x v="2"/>
    <x v="24"/>
  </r>
  <r>
    <s v="ORD00187"/>
    <x v="10"/>
    <x v="2"/>
    <n v="1927.38"/>
    <n v="3"/>
    <n v="5782.14"/>
    <x v="140"/>
    <x v="0"/>
    <x v="36"/>
  </r>
  <r>
    <s v="ORD00188"/>
    <x v="18"/>
    <x v="3"/>
    <n v="21741.53"/>
    <n v="3"/>
    <n v="65224.59"/>
    <x v="141"/>
    <x v="3"/>
    <x v="0"/>
  </r>
  <r>
    <s v="ORD00189"/>
    <x v="6"/>
    <x v="1"/>
    <n v="23638.720000000001"/>
    <n v="1"/>
    <n v="23638.720000000001"/>
    <x v="79"/>
    <x v="4"/>
    <x v="39"/>
  </r>
  <r>
    <s v="ORD00190"/>
    <x v="17"/>
    <x v="2"/>
    <n v="39372.11"/>
    <n v="1"/>
    <n v="39372.11"/>
    <x v="10"/>
    <x v="2"/>
    <x v="27"/>
  </r>
  <r>
    <s v="ORD00191"/>
    <x v="21"/>
    <x v="0"/>
    <n v="49088.13"/>
    <n v="4"/>
    <n v="196352.52"/>
    <x v="142"/>
    <x v="2"/>
    <x v="10"/>
  </r>
  <r>
    <s v="ORD00192"/>
    <x v="4"/>
    <x v="4"/>
    <n v="4524.63"/>
    <n v="3"/>
    <n v="13573.89"/>
    <x v="143"/>
    <x v="1"/>
    <x v="7"/>
  </r>
  <r>
    <s v="ORD00193"/>
    <x v="6"/>
    <x v="1"/>
    <n v="1507.01"/>
    <n v="3"/>
    <n v="4521.03"/>
    <x v="144"/>
    <x v="5"/>
    <x v="15"/>
  </r>
  <r>
    <s v="ORD00194"/>
    <x v="9"/>
    <x v="3"/>
    <n v="39699.85"/>
    <n v="3"/>
    <n v="119099.55"/>
    <x v="145"/>
    <x v="2"/>
    <x v="1"/>
  </r>
  <r>
    <s v="ORD00195"/>
    <x v="2"/>
    <x v="2"/>
    <n v="37494.129999999997"/>
    <n v="5"/>
    <n v="187470.65"/>
    <x v="29"/>
    <x v="3"/>
    <x v="31"/>
  </r>
  <r>
    <s v="ORD00196"/>
    <x v="12"/>
    <x v="3"/>
    <n v="5850.81"/>
    <n v="5"/>
    <n v="29254.05"/>
    <x v="43"/>
    <x v="3"/>
    <x v="11"/>
  </r>
  <r>
    <s v="ORD00197"/>
    <x v="22"/>
    <x v="0"/>
    <n v="16448.740000000002"/>
    <n v="4"/>
    <n v="65794.960000000006"/>
    <x v="146"/>
    <x v="5"/>
    <x v="33"/>
  </r>
  <r>
    <s v="ORD00198"/>
    <x v="3"/>
    <x v="3"/>
    <n v="11103.44"/>
    <n v="1"/>
    <n v="11103.44"/>
    <x v="147"/>
    <x v="2"/>
    <x v="19"/>
  </r>
  <r>
    <s v="ORD00199"/>
    <x v="22"/>
    <x v="0"/>
    <n v="34255.39"/>
    <n v="2"/>
    <n v="68510.78"/>
    <x v="148"/>
    <x v="1"/>
    <x v="36"/>
  </r>
  <r>
    <s v="ORD00200"/>
    <x v="3"/>
    <x v="3"/>
    <n v="18304.18"/>
    <n v="2"/>
    <n v="36608.36"/>
    <x v="149"/>
    <x v="0"/>
    <x v="14"/>
  </r>
  <r>
    <s v="ORD00201"/>
    <x v="7"/>
    <x v="4"/>
    <n v="12771.91"/>
    <n v="2"/>
    <n v="25543.82"/>
    <x v="150"/>
    <x v="2"/>
    <x v="3"/>
  </r>
  <r>
    <s v="ORD00202"/>
    <x v="13"/>
    <x v="0"/>
    <n v="2275.09"/>
    <n v="2"/>
    <n v="4550.18"/>
    <x v="33"/>
    <x v="0"/>
    <x v="39"/>
  </r>
  <r>
    <s v="ORD00203"/>
    <x v="6"/>
    <x v="1"/>
    <n v="16468.59"/>
    <n v="4"/>
    <n v="65874.36"/>
    <x v="151"/>
    <x v="5"/>
    <x v="16"/>
  </r>
  <r>
    <s v="ORD00204"/>
    <x v="4"/>
    <x v="4"/>
    <n v="4934.99"/>
    <n v="3"/>
    <n v="14804.97"/>
    <x v="152"/>
    <x v="4"/>
    <x v="33"/>
  </r>
  <r>
    <s v="ORD00205"/>
    <x v="7"/>
    <x v="4"/>
    <n v="5258.29"/>
    <n v="5"/>
    <n v="26291.45"/>
    <x v="153"/>
    <x v="2"/>
    <x v="15"/>
  </r>
  <r>
    <s v="ORD00206"/>
    <x v="17"/>
    <x v="2"/>
    <n v="32580"/>
    <n v="5"/>
    <n v="162900"/>
    <x v="154"/>
    <x v="3"/>
    <x v="29"/>
  </r>
  <r>
    <s v="ORD00207"/>
    <x v="23"/>
    <x v="4"/>
    <n v="40298.9"/>
    <n v="1"/>
    <n v="40298.9"/>
    <x v="110"/>
    <x v="0"/>
    <x v="12"/>
  </r>
  <r>
    <s v="ORD00208"/>
    <x v="9"/>
    <x v="3"/>
    <n v="11236.19"/>
    <n v="3"/>
    <n v="33708.57"/>
    <x v="155"/>
    <x v="3"/>
    <x v="8"/>
  </r>
  <r>
    <s v="ORD00209"/>
    <x v="22"/>
    <x v="0"/>
    <n v="32537.46"/>
    <n v="5"/>
    <n v="162687.29999999999"/>
    <x v="114"/>
    <x v="1"/>
    <x v="20"/>
  </r>
  <r>
    <s v="ORD00210"/>
    <x v="1"/>
    <x v="1"/>
    <n v="6953.88"/>
    <n v="1"/>
    <n v="6953.88"/>
    <x v="145"/>
    <x v="1"/>
    <x v="36"/>
  </r>
  <r>
    <s v="ORD00211"/>
    <x v="16"/>
    <x v="4"/>
    <n v="32824.050000000003"/>
    <n v="3"/>
    <n v="98472.15"/>
    <x v="156"/>
    <x v="4"/>
    <x v="22"/>
  </r>
  <r>
    <s v="ORD00212"/>
    <x v="6"/>
    <x v="1"/>
    <n v="34459.99"/>
    <n v="3"/>
    <n v="103379.97"/>
    <x v="157"/>
    <x v="0"/>
    <x v="23"/>
  </r>
  <r>
    <s v="ORD00213"/>
    <x v="0"/>
    <x v="0"/>
    <n v="13608.58"/>
    <n v="3"/>
    <n v="40825.74"/>
    <x v="158"/>
    <x v="1"/>
    <x v="33"/>
  </r>
  <r>
    <s v="ORD00214"/>
    <x v="5"/>
    <x v="4"/>
    <n v="32630.83"/>
    <n v="2"/>
    <n v="65261.66"/>
    <x v="58"/>
    <x v="1"/>
    <x v="25"/>
  </r>
  <r>
    <s v="ORD00215"/>
    <x v="18"/>
    <x v="3"/>
    <n v="24818.77"/>
    <n v="4"/>
    <n v="99275.08"/>
    <x v="159"/>
    <x v="0"/>
    <x v="10"/>
  </r>
  <r>
    <s v="ORD00216"/>
    <x v="14"/>
    <x v="0"/>
    <n v="36645.35"/>
    <n v="3"/>
    <n v="109936.05"/>
    <x v="160"/>
    <x v="0"/>
    <x v="15"/>
  </r>
  <r>
    <s v="ORD00217"/>
    <x v="1"/>
    <x v="1"/>
    <n v="25668.959999999999"/>
    <n v="3"/>
    <n v="77006.880000000005"/>
    <x v="161"/>
    <x v="0"/>
    <x v="38"/>
  </r>
  <r>
    <s v="ORD00218"/>
    <x v="24"/>
    <x v="1"/>
    <n v="44241.68"/>
    <n v="4"/>
    <n v="176966.72"/>
    <x v="162"/>
    <x v="3"/>
    <x v="23"/>
  </r>
  <r>
    <s v="ORD00219"/>
    <x v="20"/>
    <x v="3"/>
    <n v="39749.19"/>
    <n v="1"/>
    <n v="39749.19"/>
    <x v="163"/>
    <x v="3"/>
    <x v="0"/>
  </r>
  <r>
    <s v="ORD00220"/>
    <x v="9"/>
    <x v="3"/>
    <n v="37578.46"/>
    <n v="2"/>
    <n v="75156.92"/>
    <x v="161"/>
    <x v="5"/>
    <x v="2"/>
  </r>
  <r>
    <s v="ORD00221"/>
    <x v="12"/>
    <x v="3"/>
    <n v="37203.65"/>
    <n v="4"/>
    <n v="148814.6"/>
    <x v="145"/>
    <x v="2"/>
    <x v="0"/>
  </r>
  <r>
    <s v="ORD00222"/>
    <x v="22"/>
    <x v="0"/>
    <n v="22851.63"/>
    <n v="1"/>
    <n v="22851.63"/>
    <x v="145"/>
    <x v="2"/>
    <x v="34"/>
  </r>
  <r>
    <s v="ORD00223"/>
    <x v="17"/>
    <x v="2"/>
    <n v="27627.84"/>
    <n v="4"/>
    <n v="110511.36"/>
    <x v="13"/>
    <x v="1"/>
    <x v="31"/>
  </r>
  <r>
    <s v="ORD00224"/>
    <x v="22"/>
    <x v="0"/>
    <n v="31333.95"/>
    <n v="3"/>
    <n v="94001.85"/>
    <x v="121"/>
    <x v="0"/>
    <x v="5"/>
  </r>
  <r>
    <s v="ORD00225"/>
    <x v="16"/>
    <x v="4"/>
    <n v="30911.439999999999"/>
    <n v="5"/>
    <n v="154557.20000000001"/>
    <x v="164"/>
    <x v="0"/>
    <x v="32"/>
  </r>
  <r>
    <s v="ORD00226"/>
    <x v="18"/>
    <x v="3"/>
    <n v="11518.23"/>
    <n v="1"/>
    <n v="11518.23"/>
    <x v="165"/>
    <x v="0"/>
    <x v="2"/>
  </r>
  <r>
    <s v="ORD00227"/>
    <x v="1"/>
    <x v="1"/>
    <n v="43304.55"/>
    <n v="5"/>
    <n v="216522.75"/>
    <x v="166"/>
    <x v="1"/>
    <x v="8"/>
  </r>
  <r>
    <s v="ORD00228"/>
    <x v="22"/>
    <x v="0"/>
    <n v="3710.07"/>
    <n v="3"/>
    <n v="11130.21"/>
    <x v="124"/>
    <x v="4"/>
    <x v="24"/>
  </r>
  <r>
    <s v="ORD00229"/>
    <x v="10"/>
    <x v="2"/>
    <n v="34621.21"/>
    <n v="2"/>
    <n v="69242.42"/>
    <x v="16"/>
    <x v="2"/>
    <x v="31"/>
  </r>
  <r>
    <s v="ORD00230"/>
    <x v="20"/>
    <x v="3"/>
    <n v="41742.29"/>
    <n v="5"/>
    <n v="208711.45"/>
    <x v="30"/>
    <x v="3"/>
    <x v="8"/>
  </r>
  <r>
    <s v="ORD00231"/>
    <x v="16"/>
    <x v="4"/>
    <n v="46858.63"/>
    <n v="1"/>
    <n v="46858.63"/>
    <x v="155"/>
    <x v="0"/>
    <x v="0"/>
  </r>
  <r>
    <s v="ORD00232"/>
    <x v="3"/>
    <x v="3"/>
    <n v="5413.09"/>
    <n v="1"/>
    <n v="5413.09"/>
    <x v="167"/>
    <x v="1"/>
    <x v="20"/>
  </r>
  <r>
    <s v="ORD00233"/>
    <x v="18"/>
    <x v="3"/>
    <n v="5880.45"/>
    <n v="1"/>
    <n v="5880.45"/>
    <x v="168"/>
    <x v="5"/>
    <x v="6"/>
  </r>
  <r>
    <s v="ORD00234"/>
    <x v="13"/>
    <x v="0"/>
    <n v="35665.26"/>
    <n v="3"/>
    <n v="106995.78"/>
    <x v="13"/>
    <x v="2"/>
    <x v="12"/>
  </r>
  <r>
    <s v="ORD00235"/>
    <x v="20"/>
    <x v="3"/>
    <n v="42981.89"/>
    <n v="5"/>
    <n v="214909.45"/>
    <x v="57"/>
    <x v="4"/>
    <x v="31"/>
  </r>
  <r>
    <s v="ORD00236"/>
    <x v="13"/>
    <x v="0"/>
    <n v="25629.88"/>
    <n v="3"/>
    <n v="76889.64"/>
    <x v="51"/>
    <x v="0"/>
    <x v="36"/>
  </r>
  <r>
    <s v="ORD00237"/>
    <x v="10"/>
    <x v="2"/>
    <n v="22475.94"/>
    <n v="4"/>
    <n v="89903.76"/>
    <x v="66"/>
    <x v="0"/>
    <x v="0"/>
  </r>
  <r>
    <s v="ORD00238"/>
    <x v="23"/>
    <x v="4"/>
    <n v="33250.699999999997"/>
    <n v="5"/>
    <n v="166253.5"/>
    <x v="169"/>
    <x v="2"/>
    <x v="17"/>
  </r>
  <r>
    <s v="ORD00239"/>
    <x v="14"/>
    <x v="0"/>
    <n v="45045.03"/>
    <n v="5"/>
    <n v="225225.15"/>
    <x v="57"/>
    <x v="5"/>
    <x v="28"/>
  </r>
  <r>
    <s v="ORD00240"/>
    <x v="16"/>
    <x v="4"/>
    <n v="3955.86"/>
    <n v="5"/>
    <n v="19779.3"/>
    <x v="170"/>
    <x v="5"/>
    <x v="25"/>
  </r>
  <r>
    <s v="ORD00241"/>
    <x v="10"/>
    <x v="2"/>
    <n v="28169.11"/>
    <n v="5"/>
    <n v="140845.54999999999"/>
    <x v="93"/>
    <x v="1"/>
    <x v="29"/>
  </r>
  <r>
    <s v="ORD00242"/>
    <x v="2"/>
    <x v="2"/>
    <n v="42785.51"/>
    <n v="4"/>
    <n v="171142.04"/>
    <x v="171"/>
    <x v="3"/>
    <x v="5"/>
  </r>
  <r>
    <s v="ORD00243"/>
    <x v="12"/>
    <x v="3"/>
    <n v="25614.35"/>
    <n v="2"/>
    <n v="51228.7"/>
    <x v="172"/>
    <x v="2"/>
    <x v="0"/>
  </r>
  <r>
    <s v="ORD00244"/>
    <x v="5"/>
    <x v="4"/>
    <n v="7771.58"/>
    <n v="5"/>
    <n v="38857.9"/>
    <x v="173"/>
    <x v="0"/>
    <x v="22"/>
  </r>
  <r>
    <s v="ORD00245"/>
    <x v="14"/>
    <x v="0"/>
    <n v="31059.47"/>
    <n v="3"/>
    <n v="93178.41"/>
    <x v="174"/>
    <x v="2"/>
    <x v="38"/>
  </r>
  <r>
    <s v="ORD00246"/>
    <x v="0"/>
    <x v="0"/>
    <n v="14506.11"/>
    <n v="5"/>
    <n v="72530.55"/>
    <x v="175"/>
    <x v="0"/>
    <x v="0"/>
  </r>
  <r>
    <s v="ORD00247"/>
    <x v="3"/>
    <x v="3"/>
    <n v="16272.38"/>
    <n v="3"/>
    <n v="48817.14"/>
    <x v="176"/>
    <x v="0"/>
    <x v="23"/>
  </r>
  <r>
    <s v="ORD00248"/>
    <x v="15"/>
    <x v="1"/>
    <n v="29222.92"/>
    <n v="3"/>
    <n v="87668.76"/>
    <x v="152"/>
    <x v="0"/>
    <x v="29"/>
  </r>
  <r>
    <s v="ORD00249"/>
    <x v="0"/>
    <x v="0"/>
    <n v="1483.5"/>
    <n v="5"/>
    <n v="7417.5"/>
    <x v="177"/>
    <x v="0"/>
    <x v="17"/>
  </r>
  <r>
    <s v="ORD00250"/>
    <x v="22"/>
    <x v="0"/>
    <n v="35629.550000000003"/>
    <n v="2"/>
    <n v="71259.100000000006"/>
    <x v="178"/>
    <x v="2"/>
    <x v="6"/>
  </r>
  <r>
    <s v="ORD00251"/>
    <x v="8"/>
    <x v="1"/>
    <n v="1987.98"/>
    <n v="4"/>
    <n v="7951.92"/>
    <x v="11"/>
    <x v="1"/>
    <x v="26"/>
  </r>
  <r>
    <s v="ORD00252"/>
    <x v="0"/>
    <x v="0"/>
    <n v="37590.44"/>
    <n v="4"/>
    <n v="150361.76"/>
    <x v="179"/>
    <x v="2"/>
    <x v="31"/>
  </r>
  <r>
    <s v="ORD00253"/>
    <x v="5"/>
    <x v="4"/>
    <n v="31759.49"/>
    <n v="4"/>
    <n v="127037.96"/>
    <x v="180"/>
    <x v="1"/>
    <x v="6"/>
  </r>
  <r>
    <s v="ORD00254"/>
    <x v="19"/>
    <x v="2"/>
    <n v="18787.05"/>
    <n v="4"/>
    <n v="75148.2"/>
    <x v="117"/>
    <x v="4"/>
    <x v="19"/>
  </r>
  <r>
    <s v="ORD00255"/>
    <x v="0"/>
    <x v="0"/>
    <n v="17066.16"/>
    <n v="1"/>
    <n v="17066.16"/>
    <x v="181"/>
    <x v="2"/>
    <x v="18"/>
  </r>
  <r>
    <s v="ORD00256"/>
    <x v="8"/>
    <x v="1"/>
    <n v="15068.72"/>
    <n v="4"/>
    <n v="60274.879999999997"/>
    <x v="125"/>
    <x v="0"/>
    <x v="23"/>
  </r>
  <r>
    <s v="ORD00257"/>
    <x v="12"/>
    <x v="3"/>
    <n v="44334.11"/>
    <n v="3"/>
    <n v="133002.32999999999"/>
    <x v="182"/>
    <x v="2"/>
    <x v="8"/>
  </r>
  <r>
    <s v="ORD00258"/>
    <x v="12"/>
    <x v="3"/>
    <n v="11183.75"/>
    <n v="1"/>
    <n v="11183.75"/>
    <x v="183"/>
    <x v="4"/>
    <x v="35"/>
  </r>
  <r>
    <s v="ORD00259"/>
    <x v="4"/>
    <x v="4"/>
    <n v="2923.95"/>
    <n v="5"/>
    <n v="14619.75"/>
    <x v="184"/>
    <x v="5"/>
    <x v="19"/>
  </r>
  <r>
    <s v="ORD00260"/>
    <x v="19"/>
    <x v="2"/>
    <n v="7339.66"/>
    <n v="2"/>
    <n v="14679.32"/>
    <x v="132"/>
    <x v="5"/>
    <x v="19"/>
  </r>
  <r>
    <s v="ORD00261"/>
    <x v="7"/>
    <x v="4"/>
    <n v="41405.370000000003"/>
    <n v="2"/>
    <n v="82810.740000000005"/>
    <x v="185"/>
    <x v="2"/>
    <x v="33"/>
  </r>
  <r>
    <s v="ORD00262"/>
    <x v="5"/>
    <x v="4"/>
    <n v="36114.379999999997"/>
    <n v="1"/>
    <n v="36114.379999999997"/>
    <x v="186"/>
    <x v="5"/>
    <x v="33"/>
  </r>
  <r>
    <s v="ORD00263"/>
    <x v="12"/>
    <x v="3"/>
    <n v="19915.59"/>
    <n v="5"/>
    <n v="99577.95"/>
    <x v="187"/>
    <x v="3"/>
    <x v="12"/>
  </r>
  <r>
    <s v="ORD00264"/>
    <x v="12"/>
    <x v="3"/>
    <n v="18366.97"/>
    <n v="4"/>
    <n v="73467.88"/>
    <x v="188"/>
    <x v="3"/>
    <x v="12"/>
  </r>
  <r>
    <s v="ORD00265"/>
    <x v="12"/>
    <x v="3"/>
    <n v="8563.14"/>
    <n v="2"/>
    <n v="17126.28"/>
    <x v="189"/>
    <x v="3"/>
    <x v="4"/>
  </r>
  <r>
    <s v="ORD00266"/>
    <x v="17"/>
    <x v="2"/>
    <n v="40461.79"/>
    <n v="1"/>
    <n v="40461.79"/>
    <x v="190"/>
    <x v="4"/>
    <x v="35"/>
  </r>
  <r>
    <s v="ORD00267"/>
    <x v="8"/>
    <x v="1"/>
    <n v="6943.4"/>
    <n v="5"/>
    <n v="34717"/>
    <x v="70"/>
    <x v="0"/>
    <x v="39"/>
  </r>
  <r>
    <s v="ORD00268"/>
    <x v="19"/>
    <x v="2"/>
    <n v="14517.08"/>
    <n v="1"/>
    <n v="14517.08"/>
    <x v="190"/>
    <x v="1"/>
    <x v="32"/>
  </r>
  <r>
    <s v="ORD00269"/>
    <x v="9"/>
    <x v="3"/>
    <n v="4248.25"/>
    <n v="5"/>
    <n v="21241.25"/>
    <x v="163"/>
    <x v="2"/>
    <x v="27"/>
  </r>
  <r>
    <s v="ORD00270"/>
    <x v="5"/>
    <x v="4"/>
    <n v="43118.73"/>
    <n v="5"/>
    <n v="215593.65"/>
    <x v="191"/>
    <x v="0"/>
    <x v="4"/>
  </r>
  <r>
    <s v="ORD00271"/>
    <x v="24"/>
    <x v="1"/>
    <n v="10086.76"/>
    <n v="2"/>
    <n v="20173.52"/>
    <x v="192"/>
    <x v="2"/>
    <x v="30"/>
  </r>
  <r>
    <s v="ORD00272"/>
    <x v="2"/>
    <x v="2"/>
    <n v="35373.5"/>
    <n v="4"/>
    <n v="141494"/>
    <x v="193"/>
    <x v="4"/>
    <x v="36"/>
  </r>
  <r>
    <s v="ORD00273"/>
    <x v="7"/>
    <x v="4"/>
    <n v="43002.68"/>
    <n v="3"/>
    <n v="129008.04"/>
    <x v="158"/>
    <x v="1"/>
    <x v="24"/>
  </r>
  <r>
    <s v="ORD00274"/>
    <x v="18"/>
    <x v="3"/>
    <n v="46388.81"/>
    <n v="1"/>
    <n v="46388.81"/>
    <x v="194"/>
    <x v="3"/>
    <x v="2"/>
  </r>
  <r>
    <s v="ORD00275"/>
    <x v="14"/>
    <x v="0"/>
    <n v="47384.51"/>
    <n v="3"/>
    <n v="142153.53"/>
    <x v="195"/>
    <x v="5"/>
    <x v="39"/>
  </r>
  <r>
    <s v="ORD00276"/>
    <x v="8"/>
    <x v="1"/>
    <n v="15826.47"/>
    <n v="2"/>
    <n v="31652.94"/>
    <x v="196"/>
    <x v="5"/>
    <x v="2"/>
  </r>
  <r>
    <s v="ORD00277"/>
    <x v="19"/>
    <x v="2"/>
    <n v="33927.57"/>
    <n v="5"/>
    <n v="169637.85"/>
    <x v="86"/>
    <x v="2"/>
    <x v="8"/>
  </r>
  <r>
    <s v="ORD00278"/>
    <x v="9"/>
    <x v="3"/>
    <n v="27400.84"/>
    <n v="1"/>
    <n v="27400.84"/>
    <x v="197"/>
    <x v="5"/>
    <x v="22"/>
  </r>
  <r>
    <s v="ORD00279"/>
    <x v="9"/>
    <x v="3"/>
    <n v="37684.28"/>
    <n v="4"/>
    <n v="150737.12"/>
    <x v="198"/>
    <x v="3"/>
    <x v="3"/>
  </r>
  <r>
    <s v="ORD00280"/>
    <x v="6"/>
    <x v="1"/>
    <n v="22968.18"/>
    <n v="4"/>
    <n v="91872.72"/>
    <x v="199"/>
    <x v="5"/>
    <x v="27"/>
  </r>
  <r>
    <s v="ORD00281"/>
    <x v="23"/>
    <x v="4"/>
    <n v="43444.93"/>
    <n v="1"/>
    <n v="43444.93"/>
    <x v="200"/>
    <x v="2"/>
    <x v="9"/>
  </r>
  <r>
    <s v="ORD00282"/>
    <x v="20"/>
    <x v="3"/>
    <n v="36083.22"/>
    <n v="3"/>
    <n v="108249.66"/>
    <x v="41"/>
    <x v="4"/>
    <x v="36"/>
  </r>
  <r>
    <s v="ORD00283"/>
    <x v="4"/>
    <x v="4"/>
    <n v="43043.82"/>
    <n v="5"/>
    <n v="215219.1"/>
    <x v="201"/>
    <x v="2"/>
    <x v="27"/>
  </r>
  <r>
    <s v="ORD00284"/>
    <x v="3"/>
    <x v="3"/>
    <n v="1517.63"/>
    <n v="4"/>
    <n v="6070.52"/>
    <x v="202"/>
    <x v="3"/>
    <x v="6"/>
  </r>
  <r>
    <s v="ORD00285"/>
    <x v="21"/>
    <x v="0"/>
    <n v="1626.1"/>
    <n v="5"/>
    <n v="8130.5"/>
    <x v="183"/>
    <x v="4"/>
    <x v="18"/>
  </r>
  <r>
    <s v="ORD00286"/>
    <x v="15"/>
    <x v="1"/>
    <n v="40384.620000000003"/>
    <n v="1"/>
    <n v="40384.620000000003"/>
    <x v="203"/>
    <x v="1"/>
    <x v="24"/>
  </r>
  <r>
    <s v="ORD00287"/>
    <x v="15"/>
    <x v="1"/>
    <n v="37295.08"/>
    <n v="1"/>
    <n v="37295.08"/>
    <x v="204"/>
    <x v="1"/>
    <x v="9"/>
  </r>
  <r>
    <s v="ORD00288"/>
    <x v="6"/>
    <x v="1"/>
    <n v="13915.5"/>
    <n v="3"/>
    <n v="41746.5"/>
    <x v="205"/>
    <x v="5"/>
    <x v="1"/>
  </r>
  <r>
    <s v="ORD00289"/>
    <x v="12"/>
    <x v="3"/>
    <n v="23625.05"/>
    <n v="2"/>
    <n v="47250.1"/>
    <x v="89"/>
    <x v="0"/>
    <x v="6"/>
  </r>
  <r>
    <s v="ORD00290"/>
    <x v="5"/>
    <x v="4"/>
    <n v="464.18"/>
    <n v="3"/>
    <n v="1392.54"/>
    <x v="144"/>
    <x v="0"/>
    <x v="27"/>
  </r>
  <r>
    <s v="ORD00291"/>
    <x v="15"/>
    <x v="1"/>
    <n v="26667.15"/>
    <n v="2"/>
    <n v="53334.3"/>
    <x v="206"/>
    <x v="4"/>
    <x v="30"/>
  </r>
  <r>
    <s v="ORD00292"/>
    <x v="21"/>
    <x v="0"/>
    <n v="29093.02"/>
    <n v="2"/>
    <n v="58186.04"/>
    <x v="207"/>
    <x v="0"/>
    <x v="13"/>
  </r>
  <r>
    <s v="ORD00293"/>
    <x v="8"/>
    <x v="1"/>
    <n v="44770.65"/>
    <n v="3"/>
    <n v="134311.95000000001"/>
    <x v="191"/>
    <x v="2"/>
    <x v="0"/>
  </r>
  <r>
    <s v="ORD00294"/>
    <x v="16"/>
    <x v="4"/>
    <n v="32749.9"/>
    <n v="1"/>
    <n v="32749.9"/>
    <x v="144"/>
    <x v="5"/>
    <x v="28"/>
  </r>
  <r>
    <s v="ORD00295"/>
    <x v="0"/>
    <x v="0"/>
    <n v="4990.66"/>
    <n v="3"/>
    <n v="14971.98"/>
    <x v="76"/>
    <x v="2"/>
    <x v="33"/>
  </r>
  <r>
    <s v="ORD00296"/>
    <x v="15"/>
    <x v="1"/>
    <n v="11044.89"/>
    <n v="3"/>
    <n v="33134.67"/>
    <x v="208"/>
    <x v="2"/>
    <x v="39"/>
  </r>
  <r>
    <s v="ORD00297"/>
    <x v="21"/>
    <x v="0"/>
    <n v="46032.160000000003"/>
    <n v="5"/>
    <n v="230160.8"/>
    <x v="209"/>
    <x v="0"/>
    <x v="2"/>
  </r>
  <r>
    <s v="ORD00298"/>
    <x v="0"/>
    <x v="0"/>
    <n v="43965.67"/>
    <n v="3"/>
    <n v="131897.01"/>
    <x v="67"/>
    <x v="0"/>
    <x v="19"/>
  </r>
  <r>
    <s v="ORD00299"/>
    <x v="15"/>
    <x v="1"/>
    <n v="6037.98"/>
    <n v="2"/>
    <n v="12075.96"/>
    <x v="99"/>
    <x v="3"/>
    <x v="22"/>
  </r>
  <r>
    <s v="ORD00300"/>
    <x v="13"/>
    <x v="0"/>
    <n v="22747.82"/>
    <n v="3"/>
    <n v="68243.460000000006"/>
    <x v="210"/>
    <x v="0"/>
    <x v="16"/>
  </r>
  <r>
    <s v="ORD00301"/>
    <x v="20"/>
    <x v="3"/>
    <n v="26615.919999999998"/>
    <n v="2"/>
    <n v="53231.839999999997"/>
    <x v="211"/>
    <x v="3"/>
    <x v="10"/>
  </r>
  <r>
    <s v="ORD00302"/>
    <x v="2"/>
    <x v="2"/>
    <n v="48234.31"/>
    <n v="2"/>
    <n v="96468.62"/>
    <x v="212"/>
    <x v="0"/>
    <x v="31"/>
  </r>
  <r>
    <s v="ORD00303"/>
    <x v="7"/>
    <x v="4"/>
    <n v="24172.560000000001"/>
    <n v="1"/>
    <n v="24172.560000000001"/>
    <x v="130"/>
    <x v="1"/>
    <x v="4"/>
  </r>
  <r>
    <s v="ORD00304"/>
    <x v="21"/>
    <x v="0"/>
    <n v="16385.37"/>
    <n v="3"/>
    <n v="49156.11"/>
    <x v="182"/>
    <x v="2"/>
    <x v="14"/>
  </r>
  <r>
    <s v="ORD00305"/>
    <x v="15"/>
    <x v="1"/>
    <n v="29527.22"/>
    <n v="3"/>
    <n v="88581.66"/>
    <x v="13"/>
    <x v="3"/>
    <x v="12"/>
  </r>
  <r>
    <s v="ORD00306"/>
    <x v="7"/>
    <x v="4"/>
    <n v="42516.65"/>
    <n v="3"/>
    <n v="127549.95"/>
    <x v="62"/>
    <x v="5"/>
    <x v="31"/>
  </r>
  <r>
    <s v="ORD00307"/>
    <x v="13"/>
    <x v="0"/>
    <n v="27175.37"/>
    <n v="5"/>
    <n v="135876.85"/>
    <x v="144"/>
    <x v="3"/>
    <x v="1"/>
  </r>
  <r>
    <s v="ORD00308"/>
    <x v="24"/>
    <x v="1"/>
    <n v="25379.68"/>
    <n v="4"/>
    <n v="101518.72"/>
    <x v="185"/>
    <x v="2"/>
    <x v="0"/>
  </r>
  <r>
    <s v="ORD00309"/>
    <x v="0"/>
    <x v="0"/>
    <n v="29568.18"/>
    <n v="3"/>
    <n v="88704.54"/>
    <x v="83"/>
    <x v="4"/>
    <x v="11"/>
  </r>
  <r>
    <s v="ORD00310"/>
    <x v="21"/>
    <x v="0"/>
    <n v="23562.27"/>
    <n v="2"/>
    <n v="47124.54"/>
    <x v="97"/>
    <x v="4"/>
    <x v="35"/>
  </r>
  <r>
    <s v="ORD00311"/>
    <x v="24"/>
    <x v="1"/>
    <n v="19134.259999999998"/>
    <n v="2"/>
    <n v="38268.519999999997"/>
    <x v="36"/>
    <x v="3"/>
    <x v="33"/>
  </r>
  <r>
    <s v="ORD00312"/>
    <x v="21"/>
    <x v="0"/>
    <n v="10176.11"/>
    <n v="5"/>
    <n v="50880.55"/>
    <x v="173"/>
    <x v="5"/>
    <x v="37"/>
  </r>
  <r>
    <s v="ORD00313"/>
    <x v="18"/>
    <x v="3"/>
    <n v="48177.16"/>
    <n v="3"/>
    <n v="144531.48000000001"/>
    <x v="139"/>
    <x v="5"/>
    <x v="5"/>
  </r>
  <r>
    <s v="ORD00314"/>
    <x v="5"/>
    <x v="4"/>
    <n v="6119.31"/>
    <n v="5"/>
    <n v="30596.55"/>
    <x v="213"/>
    <x v="5"/>
    <x v="39"/>
  </r>
  <r>
    <s v="ORD00315"/>
    <x v="19"/>
    <x v="2"/>
    <n v="6015.13"/>
    <n v="1"/>
    <n v="6015.13"/>
    <x v="106"/>
    <x v="4"/>
    <x v="30"/>
  </r>
  <r>
    <s v="ORD00316"/>
    <x v="15"/>
    <x v="1"/>
    <n v="41198.839999999997"/>
    <n v="4"/>
    <n v="164795.35999999999"/>
    <x v="61"/>
    <x v="4"/>
    <x v="32"/>
  </r>
  <r>
    <s v="ORD00317"/>
    <x v="14"/>
    <x v="0"/>
    <n v="11527.7"/>
    <n v="3"/>
    <n v="34583.1"/>
    <x v="214"/>
    <x v="5"/>
    <x v="31"/>
  </r>
  <r>
    <s v="ORD00318"/>
    <x v="3"/>
    <x v="3"/>
    <n v="27749.19"/>
    <n v="4"/>
    <n v="110996.76"/>
    <x v="18"/>
    <x v="2"/>
    <x v="15"/>
  </r>
  <r>
    <s v="ORD00319"/>
    <x v="12"/>
    <x v="3"/>
    <n v="14014.82"/>
    <n v="1"/>
    <n v="14014.82"/>
    <x v="81"/>
    <x v="4"/>
    <x v="33"/>
  </r>
  <r>
    <s v="ORD00320"/>
    <x v="12"/>
    <x v="3"/>
    <n v="23293.14"/>
    <n v="2"/>
    <n v="46586.28"/>
    <x v="161"/>
    <x v="1"/>
    <x v="27"/>
  </r>
  <r>
    <s v="ORD00321"/>
    <x v="6"/>
    <x v="1"/>
    <n v="38592.49"/>
    <n v="5"/>
    <n v="192962.45"/>
    <x v="215"/>
    <x v="2"/>
    <x v="3"/>
  </r>
  <r>
    <s v="ORD00322"/>
    <x v="12"/>
    <x v="3"/>
    <n v="39898.86"/>
    <n v="1"/>
    <n v="39898.86"/>
    <x v="133"/>
    <x v="2"/>
    <x v="31"/>
  </r>
  <r>
    <s v="ORD00323"/>
    <x v="0"/>
    <x v="0"/>
    <n v="39842.5"/>
    <n v="2"/>
    <n v="79685"/>
    <x v="216"/>
    <x v="0"/>
    <x v="2"/>
  </r>
  <r>
    <s v="ORD00324"/>
    <x v="21"/>
    <x v="0"/>
    <n v="30395.25"/>
    <n v="1"/>
    <n v="30395.25"/>
    <x v="217"/>
    <x v="3"/>
    <x v="19"/>
  </r>
  <r>
    <s v="ORD00325"/>
    <x v="2"/>
    <x v="2"/>
    <n v="36560.32"/>
    <n v="5"/>
    <n v="182801.6"/>
    <x v="116"/>
    <x v="5"/>
    <x v="15"/>
  </r>
  <r>
    <s v="ORD00326"/>
    <x v="4"/>
    <x v="4"/>
    <n v="44248.09"/>
    <n v="1"/>
    <n v="44248.09"/>
    <x v="218"/>
    <x v="5"/>
    <x v="4"/>
  </r>
  <r>
    <s v="ORD00327"/>
    <x v="9"/>
    <x v="3"/>
    <n v="18386.259999999998"/>
    <n v="1"/>
    <n v="18386.259999999998"/>
    <x v="185"/>
    <x v="4"/>
    <x v="23"/>
  </r>
  <r>
    <s v="ORD00328"/>
    <x v="8"/>
    <x v="1"/>
    <n v="33683.4"/>
    <n v="1"/>
    <n v="33683.4"/>
    <x v="219"/>
    <x v="0"/>
    <x v="28"/>
  </r>
  <r>
    <s v="ORD00329"/>
    <x v="17"/>
    <x v="2"/>
    <n v="49561.57"/>
    <n v="3"/>
    <n v="148684.71"/>
    <x v="220"/>
    <x v="5"/>
    <x v="0"/>
  </r>
  <r>
    <s v="ORD00330"/>
    <x v="2"/>
    <x v="2"/>
    <n v="18551.650000000001"/>
    <n v="2"/>
    <n v="37103.300000000003"/>
    <x v="13"/>
    <x v="4"/>
    <x v="8"/>
  </r>
  <r>
    <s v="ORD00331"/>
    <x v="20"/>
    <x v="3"/>
    <n v="12249.35"/>
    <n v="5"/>
    <n v="61246.75"/>
    <x v="221"/>
    <x v="2"/>
    <x v="36"/>
  </r>
  <r>
    <s v="ORD00332"/>
    <x v="1"/>
    <x v="1"/>
    <n v="35305.39"/>
    <n v="1"/>
    <n v="35305.39"/>
    <x v="32"/>
    <x v="1"/>
    <x v="21"/>
  </r>
  <r>
    <s v="ORD00333"/>
    <x v="3"/>
    <x v="3"/>
    <n v="16790.46"/>
    <n v="5"/>
    <n v="83952.3"/>
    <x v="222"/>
    <x v="5"/>
    <x v="17"/>
  </r>
  <r>
    <s v="ORD00334"/>
    <x v="8"/>
    <x v="1"/>
    <n v="26096.959999999999"/>
    <n v="4"/>
    <n v="104387.84"/>
    <x v="179"/>
    <x v="0"/>
    <x v="0"/>
  </r>
  <r>
    <s v="ORD00335"/>
    <x v="22"/>
    <x v="0"/>
    <n v="34361.96"/>
    <n v="5"/>
    <n v="171809.8"/>
    <x v="15"/>
    <x v="5"/>
    <x v="2"/>
  </r>
  <r>
    <s v="ORD00336"/>
    <x v="7"/>
    <x v="4"/>
    <n v="46079.49"/>
    <n v="5"/>
    <n v="230397.45"/>
    <x v="223"/>
    <x v="5"/>
    <x v="13"/>
  </r>
  <r>
    <s v="ORD00337"/>
    <x v="5"/>
    <x v="4"/>
    <n v="47053.440000000002"/>
    <n v="2"/>
    <n v="94106.880000000005"/>
    <x v="224"/>
    <x v="3"/>
    <x v="32"/>
  </r>
  <r>
    <s v="ORD00338"/>
    <x v="9"/>
    <x v="3"/>
    <n v="18905.939999999999"/>
    <n v="3"/>
    <n v="56717.82"/>
    <x v="225"/>
    <x v="1"/>
    <x v="16"/>
  </r>
  <r>
    <s v="ORD00339"/>
    <x v="17"/>
    <x v="2"/>
    <n v="30977.18"/>
    <n v="3"/>
    <n v="92931.54"/>
    <x v="3"/>
    <x v="1"/>
    <x v="26"/>
  </r>
  <r>
    <s v="ORD00340"/>
    <x v="7"/>
    <x v="4"/>
    <n v="41841.57"/>
    <n v="2"/>
    <n v="83683.14"/>
    <x v="102"/>
    <x v="3"/>
    <x v="19"/>
  </r>
  <r>
    <s v="ORD00341"/>
    <x v="18"/>
    <x v="3"/>
    <n v="4277.1499999999996"/>
    <n v="4"/>
    <n v="17108.599999999999"/>
    <x v="172"/>
    <x v="3"/>
    <x v="37"/>
  </r>
  <r>
    <s v="ORD00342"/>
    <x v="23"/>
    <x v="4"/>
    <n v="15648.85"/>
    <n v="2"/>
    <n v="31297.7"/>
    <x v="115"/>
    <x v="4"/>
    <x v="2"/>
  </r>
  <r>
    <s v="ORD00343"/>
    <x v="20"/>
    <x v="3"/>
    <n v="26992.720000000001"/>
    <n v="3"/>
    <n v="80978.16"/>
    <x v="40"/>
    <x v="2"/>
    <x v="19"/>
  </r>
  <r>
    <s v="ORD00344"/>
    <x v="20"/>
    <x v="3"/>
    <n v="49586.31"/>
    <n v="4"/>
    <n v="198345.24"/>
    <x v="226"/>
    <x v="1"/>
    <x v="17"/>
  </r>
  <r>
    <s v="ORD00345"/>
    <x v="9"/>
    <x v="3"/>
    <n v="37181.040000000001"/>
    <n v="1"/>
    <n v="37181.040000000001"/>
    <x v="103"/>
    <x v="2"/>
    <x v="12"/>
  </r>
  <r>
    <s v="ORD00346"/>
    <x v="6"/>
    <x v="1"/>
    <n v="46090.65"/>
    <n v="4"/>
    <n v="184362.6"/>
    <x v="227"/>
    <x v="1"/>
    <x v="26"/>
  </r>
  <r>
    <s v="ORD00347"/>
    <x v="0"/>
    <x v="0"/>
    <n v="48151.09"/>
    <n v="4"/>
    <n v="192604.36"/>
    <x v="22"/>
    <x v="1"/>
    <x v="36"/>
  </r>
  <r>
    <s v="ORD00348"/>
    <x v="3"/>
    <x v="3"/>
    <n v="8197.4699999999993"/>
    <n v="2"/>
    <n v="16394.939999999999"/>
    <x v="228"/>
    <x v="2"/>
    <x v="32"/>
  </r>
  <r>
    <s v="ORD00349"/>
    <x v="4"/>
    <x v="4"/>
    <n v="40679.29"/>
    <n v="2"/>
    <n v="81358.58"/>
    <x v="196"/>
    <x v="2"/>
    <x v="39"/>
  </r>
  <r>
    <s v="ORD00350"/>
    <x v="10"/>
    <x v="2"/>
    <n v="45012.71"/>
    <n v="3"/>
    <n v="135038.13"/>
    <x v="229"/>
    <x v="1"/>
    <x v="35"/>
  </r>
  <r>
    <s v="ORD00351"/>
    <x v="10"/>
    <x v="2"/>
    <n v="5127.0200000000004"/>
    <n v="3"/>
    <n v="15381.06"/>
    <x v="197"/>
    <x v="0"/>
    <x v="16"/>
  </r>
  <r>
    <s v="ORD00352"/>
    <x v="18"/>
    <x v="3"/>
    <n v="13954.48"/>
    <n v="3"/>
    <n v="41863.440000000002"/>
    <x v="83"/>
    <x v="1"/>
    <x v="39"/>
  </r>
  <r>
    <s v="ORD00353"/>
    <x v="15"/>
    <x v="1"/>
    <n v="26166.89"/>
    <n v="4"/>
    <n v="104667.56"/>
    <x v="187"/>
    <x v="4"/>
    <x v="13"/>
  </r>
  <r>
    <s v="ORD00354"/>
    <x v="17"/>
    <x v="2"/>
    <n v="45072.69"/>
    <n v="2"/>
    <n v="90145.38"/>
    <x v="230"/>
    <x v="2"/>
    <x v="8"/>
  </r>
  <r>
    <s v="ORD00355"/>
    <x v="15"/>
    <x v="1"/>
    <n v="33543.19"/>
    <n v="2"/>
    <n v="67086.38"/>
    <x v="231"/>
    <x v="1"/>
    <x v="13"/>
  </r>
  <r>
    <s v="ORD00356"/>
    <x v="22"/>
    <x v="0"/>
    <n v="34116.230000000003"/>
    <n v="3"/>
    <n v="102348.69"/>
    <x v="232"/>
    <x v="2"/>
    <x v="23"/>
  </r>
  <r>
    <s v="ORD00357"/>
    <x v="22"/>
    <x v="0"/>
    <n v="15466.4"/>
    <n v="5"/>
    <n v="77332"/>
    <x v="136"/>
    <x v="2"/>
    <x v="36"/>
  </r>
  <r>
    <s v="ORD00358"/>
    <x v="18"/>
    <x v="3"/>
    <n v="19879.400000000001"/>
    <n v="4"/>
    <n v="79517.600000000006"/>
    <x v="233"/>
    <x v="0"/>
    <x v="3"/>
  </r>
  <r>
    <s v="ORD00359"/>
    <x v="23"/>
    <x v="4"/>
    <n v="11914.15"/>
    <n v="2"/>
    <n v="23828.3"/>
    <x v="32"/>
    <x v="2"/>
    <x v="7"/>
  </r>
  <r>
    <s v="ORD00360"/>
    <x v="24"/>
    <x v="1"/>
    <n v="7936.32"/>
    <n v="4"/>
    <n v="31745.279999999999"/>
    <x v="234"/>
    <x v="4"/>
    <x v="39"/>
  </r>
  <r>
    <s v="ORD00361"/>
    <x v="0"/>
    <x v="0"/>
    <n v="7633.85"/>
    <n v="2"/>
    <n v="15267.7"/>
    <x v="186"/>
    <x v="5"/>
    <x v="28"/>
  </r>
  <r>
    <s v="ORD00362"/>
    <x v="2"/>
    <x v="2"/>
    <n v="2470.8200000000002"/>
    <n v="4"/>
    <n v="9883.2800000000007"/>
    <x v="235"/>
    <x v="1"/>
    <x v="6"/>
  </r>
  <r>
    <s v="ORD00363"/>
    <x v="23"/>
    <x v="4"/>
    <n v="908.47"/>
    <n v="3"/>
    <n v="2725.41"/>
    <x v="122"/>
    <x v="3"/>
    <x v="33"/>
  </r>
  <r>
    <s v="ORD00364"/>
    <x v="7"/>
    <x v="4"/>
    <n v="14102.56"/>
    <n v="4"/>
    <n v="56410.239999999998"/>
    <x v="210"/>
    <x v="3"/>
    <x v="36"/>
  </r>
  <r>
    <s v="ORD00365"/>
    <x v="18"/>
    <x v="3"/>
    <n v="23287.93"/>
    <n v="4"/>
    <n v="93151.72"/>
    <x v="225"/>
    <x v="0"/>
    <x v="6"/>
  </r>
  <r>
    <s v="ORD00366"/>
    <x v="5"/>
    <x v="4"/>
    <n v="41333.21"/>
    <n v="1"/>
    <n v="41333.21"/>
    <x v="84"/>
    <x v="5"/>
    <x v="9"/>
  </r>
  <r>
    <s v="ORD00367"/>
    <x v="0"/>
    <x v="0"/>
    <n v="35304.99"/>
    <n v="1"/>
    <n v="35304.99"/>
    <x v="128"/>
    <x v="3"/>
    <x v="6"/>
  </r>
  <r>
    <s v="ORD00368"/>
    <x v="1"/>
    <x v="1"/>
    <n v="22335.58"/>
    <n v="2"/>
    <n v="44671.16"/>
    <x v="34"/>
    <x v="2"/>
    <x v="28"/>
  </r>
  <r>
    <s v="ORD00369"/>
    <x v="4"/>
    <x v="4"/>
    <n v="40486.080000000002"/>
    <n v="5"/>
    <n v="202430.4"/>
    <x v="236"/>
    <x v="2"/>
    <x v="22"/>
  </r>
  <r>
    <s v="ORD00370"/>
    <x v="0"/>
    <x v="0"/>
    <n v="20353.400000000001"/>
    <n v="1"/>
    <n v="20353.400000000001"/>
    <x v="89"/>
    <x v="1"/>
    <x v="36"/>
  </r>
  <r>
    <s v="ORD00371"/>
    <x v="18"/>
    <x v="3"/>
    <n v="2258.27"/>
    <n v="3"/>
    <n v="6774.81"/>
    <x v="151"/>
    <x v="2"/>
    <x v="38"/>
  </r>
  <r>
    <s v="ORD00372"/>
    <x v="12"/>
    <x v="3"/>
    <n v="704.55"/>
    <n v="5"/>
    <n v="3522.75"/>
    <x v="237"/>
    <x v="0"/>
    <x v="9"/>
  </r>
  <r>
    <s v="ORD00373"/>
    <x v="7"/>
    <x v="4"/>
    <n v="38629"/>
    <n v="1"/>
    <n v="38629"/>
    <x v="30"/>
    <x v="5"/>
    <x v="9"/>
  </r>
  <r>
    <s v="ORD00374"/>
    <x v="21"/>
    <x v="0"/>
    <n v="37303.26"/>
    <n v="4"/>
    <n v="149213.04"/>
    <x v="238"/>
    <x v="3"/>
    <x v="36"/>
  </r>
  <r>
    <s v="ORD00375"/>
    <x v="12"/>
    <x v="3"/>
    <n v="11507.22"/>
    <n v="4"/>
    <n v="46028.88"/>
    <x v="239"/>
    <x v="0"/>
    <x v="23"/>
  </r>
  <r>
    <s v="ORD00376"/>
    <x v="7"/>
    <x v="4"/>
    <n v="48710.25"/>
    <n v="1"/>
    <n v="48710.25"/>
    <x v="185"/>
    <x v="4"/>
    <x v="5"/>
  </r>
  <r>
    <s v="ORD00377"/>
    <x v="0"/>
    <x v="0"/>
    <n v="20075.810000000001"/>
    <n v="1"/>
    <n v="20075.810000000001"/>
    <x v="240"/>
    <x v="0"/>
    <x v="35"/>
  </r>
  <r>
    <s v="ORD00378"/>
    <x v="13"/>
    <x v="0"/>
    <n v="8448.77"/>
    <n v="2"/>
    <n v="16897.54"/>
    <x v="241"/>
    <x v="1"/>
    <x v="28"/>
  </r>
  <r>
    <s v="ORD00379"/>
    <x v="6"/>
    <x v="1"/>
    <n v="29310.76"/>
    <n v="4"/>
    <n v="117243.04"/>
    <x v="242"/>
    <x v="2"/>
    <x v="2"/>
  </r>
  <r>
    <s v="ORD00380"/>
    <x v="0"/>
    <x v="0"/>
    <n v="708.78"/>
    <n v="4"/>
    <n v="2835.12"/>
    <x v="132"/>
    <x v="3"/>
    <x v="6"/>
  </r>
  <r>
    <s v="ORD00381"/>
    <x v="8"/>
    <x v="1"/>
    <n v="24062.33"/>
    <n v="4"/>
    <n v="96249.32"/>
    <x v="243"/>
    <x v="0"/>
    <x v="19"/>
  </r>
  <r>
    <s v="ORD00382"/>
    <x v="6"/>
    <x v="1"/>
    <n v="27827.66"/>
    <n v="1"/>
    <n v="27827.66"/>
    <x v="170"/>
    <x v="3"/>
    <x v="16"/>
  </r>
  <r>
    <s v="ORD00383"/>
    <x v="3"/>
    <x v="3"/>
    <n v="40862.870000000003"/>
    <n v="2"/>
    <n v="81725.740000000005"/>
    <x v="188"/>
    <x v="0"/>
    <x v="23"/>
  </r>
  <r>
    <s v="ORD00384"/>
    <x v="6"/>
    <x v="1"/>
    <n v="11399.26"/>
    <n v="2"/>
    <n v="22798.52"/>
    <x v="244"/>
    <x v="5"/>
    <x v="34"/>
  </r>
  <r>
    <s v="ORD00385"/>
    <x v="17"/>
    <x v="2"/>
    <n v="5463.13"/>
    <n v="1"/>
    <n v="5463.13"/>
    <x v="69"/>
    <x v="0"/>
    <x v="1"/>
  </r>
  <r>
    <s v="ORD00386"/>
    <x v="13"/>
    <x v="0"/>
    <n v="8644.99"/>
    <n v="5"/>
    <n v="43224.95"/>
    <x v="245"/>
    <x v="0"/>
    <x v="17"/>
  </r>
  <r>
    <s v="ORD00387"/>
    <x v="20"/>
    <x v="3"/>
    <n v="27481.15"/>
    <n v="2"/>
    <n v="54962.3"/>
    <x v="75"/>
    <x v="3"/>
    <x v="3"/>
  </r>
  <r>
    <s v="ORD00388"/>
    <x v="22"/>
    <x v="0"/>
    <n v="47819.23"/>
    <n v="4"/>
    <n v="191276.92"/>
    <x v="133"/>
    <x v="2"/>
    <x v="19"/>
  </r>
  <r>
    <s v="ORD00389"/>
    <x v="11"/>
    <x v="2"/>
    <n v="7145.81"/>
    <n v="4"/>
    <n v="28583.24"/>
    <x v="231"/>
    <x v="2"/>
    <x v="30"/>
  </r>
  <r>
    <s v="ORD00390"/>
    <x v="20"/>
    <x v="3"/>
    <n v="29847.4"/>
    <n v="3"/>
    <n v="89542.2"/>
    <x v="246"/>
    <x v="0"/>
    <x v="36"/>
  </r>
  <r>
    <s v="ORD00391"/>
    <x v="11"/>
    <x v="2"/>
    <n v="11186.35"/>
    <n v="2"/>
    <n v="22372.7"/>
    <x v="114"/>
    <x v="3"/>
    <x v="19"/>
  </r>
  <r>
    <s v="ORD00392"/>
    <x v="0"/>
    <x v="0"/>
    <n v="36535.74"/>
    <n v="3"/>
    <n v="109607.22"/>
    <x v="205"/>
    <x v="1"/>
    <x v="12"/>
  </r>
  <r>
    <s v="ORD00393"/>
    <x v="6"/>
    <x v="1"/>
    <n v="12046.9"/>
    <n v="3"/>
    <n v="36140.699999999997"/>
    <x v="127"/>
    <x v="3"/>
    <x v="3"/>
  </r>
  <r>
    <s v="ORD00394"/>
    <x v="17"/>
    <x v="2"/>
    <n v="7043.51"/>
    <n v="4"/>
    <n v="28174.04"/>
    <x v="247"/>
    <x v="1"/>
    <x v="10"/>
  </r>
  <r>
    <s v="ORD00395"/>
    <x v="6"/>
    <x v="1"/>
    <n v="34369.57"/>
    <n v="4"/>
    <n v="137478.28"/>
    <x v="34"/>
    <x v="5"/>
    <x v="14"/>
  </r>
  <r>
    <s v="ORD00396"/>
    <x v="6"/>
    <x v="1"/>
    <n v="4827.49"/>
    <n v="3"/>
    <n v="14482.47"/>
    <x v="248"/>
    <x v="0"/>
    <x v="24"/>
  </r>
  <r>
    <s v="ORD00397"/>
    <x v="11"/>
    <x v="2"/>
    <n v="14851.66"/>
    <n v="2"/>
    <n v="29703.32"/>
    <x v="219"/>
    <x v="0"/>
    <x v="30"/>
  </r>
  <r>
    <s v="ORD00398"/>
    <x v="8"/>
    <x v="1"/>
    <n v="40248.269999999997"/>
    <n v="3"/>
    <n v="120744.81"/>
    <x v="249"/>
    <x v="2"/>
    <x v="1"/>
  </r>
  <r>
    <s v="ORD00399"/>
    <x v="1"/>
    <x v="1"/>
    <n v="37135.360000000001"/>
    <n v="2"/>
    <n v="74270.720000000001"/>
    <x v="97"/>
    <x v="5"/>
    <x v="32"/>
  </r>
  <r>
    <s v="ORD00400"/>
    <x v="19"/>
    <x v="2"/>
    <n v="25794.78"/>
    <n v="5"/>
    <n v="128973.9"/>
    <x v="250"/>
    <x v="0"/>
    <x v="34"/>
  </r>
  <r>
    <s v="ORD00401"/>
    <x v="19"/>
    <x v="2"/>
    <n v="47564.29"/>
    <n v="3"/>
    <n v="142692.87"/>
    <x v="82"/>
    <x v="5"/>
    <x v="0"/>
  </r>
  <r>
    <s v="ORD00402"/>
    <x v="5"/>
    <x v="4"/>
    <n v="5500.92"/>
    <n v="3"/>
    <n v="16502.759999999998"/>
    <x v="251"/>
    <x v="0"/>
    <x v="10"/>
  </r>
  <r>
    <s v="ORD00403"/>
    <x v="13"/>
    <x v="0"/>
    <n v="904.29"/>
    <n v="2"/>
    <n v="1808.58"/>
    <x v="31"/>
    <x v="0"/>
    <x v="0"/>
  </r>
  <r>
    <s v="ORD00404"/>
    <x v="3"/>
    <x v="3"/>
    <n v="25035.46"/>
    <n v="2"/>
    <n v="50070.92"/>
    <x v="252"/>
    <x v="0"/>
    <x v="16"/>
  </r>
  <r>
    <s v="ORD00405"/>
    <x v="6"/>
    <x v="1"/>
    <n v="30156.36"/>
    <n v="5"/>
    <n v="150781.79999999999"/>
    <x v="16"/>
    <x v="1"/>
    <x v="2"/>
  </r>
  <r>
    <s v="ORD00406"/>
    <x v="8"/>
    <x v="1"/>
    <n v="42189.9"/>
    <n v="1"/>
    <n v="42189.9"/>
    <x v="83"/>
    <x v="4"/>
    <x v="20"/>
  </r>
  <r>
    <s v="ORD00407"/>
    <x v="1"/>
    <x v="1"/>
    <n v="41122.81"/>
    <n v="2"/>
    <n v="82245.62"/>
    <x v="72"/>
    <x v="5"/>
    <x v="38"/>
  </r>
  <r>
    <s v="ORD00408"/>
    <x v="15"/>
    <x v="1"/>
    <n v="21705.78"/>
    <n v="1"/>
    <n v="21705.78"/>
    <x v="157"/>
    <x v="3"/>
    <x v="19"/>
  </r>
  <r>
    <s v="ORD00409"/>
    <x v="20"/>
    <x v="3"/>
    <n v="28391.65"/>
    <n v="3"/>
    <n v="85174.95"/>
    <x v="180"/>
    <x v="0"/>
    <x v="15"/>
  </r>
  <r>
    <s v="ORD00410"/>
    <x v="5"/>
    <x v="4"/>
    <n v="40031.86"/>
    <n v="2"/>
    <n v="80063.72"/>
    <x v="253"/>
    <x v="3"/>
    <x v="30"/>
  </r>
  <r>
    <s v="ORD00411"/>
    <x v="5"/>
    <x v="4"/>
    <n v="41248.019999999997"/>
    <n v="4"/>
    <n v="164992.07999999999"/>
    <x v="83"/>
    <x v="4"/>
    <x v="8"/>
  </r>
  <r>
    <s v="ORD00412"/>
    <x v="19"/>
    <x v="2"/>
    <n v="35325.379999999997"/>
    <n v="2"/>
    <n v="70650.759999999995"/>
    <x v="2"/>
    <x v="1"/>
    <x v="27"/>
  </r>
  <r>
    <s v="ORD00413"/>
    <x v="5"/>
    <x v="4"/>
    <n v="45866.22"/>
    <n v="1"/>
    <n v="45866.22"/>
    <x v="254"/>
    <x v="3"/>
    <x v="1"/>
  </r>
  <r>
    <s v="ORD00414"/>
    <x v="24"/>
    <x v="1"/>
    <n v="42975.360000000001"/>
    <n v="4"/>
    <n v="171901.44"/>
    <x v="255"/>
    <x v="3"/>
    <x v="26"/>
  </r>
  <r>
    <s v="ORD00415"/>
    <x v="9"/>
    <x v="3"/>
    <n v="7532.86"/>
    <n v="5"/>
    <n v="37664.300000000003"/>
    <x v="197"/>
    <x v="1"/>
    <x v="39"/>
  </r>
  <r>
    <s v="ORD00416"/>
    <x v="2"/>
    <x v="2"/>
    <n v="39931.75"/>
    <n v="4"/>
    <n v="159727"/>
    <x v="249"/>
    <x v="4"/>
    <x v="7"/>
  </r>
  <r>
    <s v="ORD00417"/>
    <x v="20"/>
    <x v="3"/>
    <n v="20760.439999999999"/>
    <n v="4"/>
    <n v="83041.759999999995"/>
    <x v="248"/>
    <x v="3"/>
    <x v="7"/>
  </r>
  <r>
    <s v="ORD00418"/>
    <x v="15"/>
    <x v="1"/>
    <n v="29466.3"/>
    <n v="5"/>
    <n v="147331.5"/>
    <x v="22"/>
    <x v="5"/>
    <x v="11"/>
  </r>
  <r>
    <s v="ORD00419"/>
    <x v="2"/>
    <x v="2"/>
    <n v="756.85"/>
    <n v="3"/>
    <n v="2270.5500000000002"/>
    <x v="177"/>
    <x v="1"/>
    <x v="38"/>
  </r>
  <r>
    <s v="ORD00420"/>
    <x v="3"/>
    <x v="3"/>
    <n v="43711.45"/>
    <n v="4"/>
    <n v="174845.8"/>
    <x v="33"/>
    <x v="2"/>
    <x v="16"/>
  </r>
  <r>
    <s v="ORD00421"/>
    <x v="13"/>
    <x v="0"/>
    <n v="1134.78"/>
    <n v="2"/>
    <n v="2269.56"/>
    <x v="256"/>
    <x v="0"/>
    <x v="1"/>
  </r>
  <r>
    <s v="ORD00422"/>
    <x v="23"/>
    <x v="4"/>
    <n v="6859"/>
    <n v="3"/>
    <n v="20577"/>
    <x v="157"/>
    <x v="5"/>
    <x v="14"/>
  </r>
  <r>
    <s v="ORD00423"/>
    <x v="22"/>
    <x v="0"/>
    <n v="28818.74"/>
    <n v="3"/>
    <n v="86456.22"/>
    <x v="33"/>
    <x v="0"/>
    <x v="23"/>
  </r>
  <r>
    <s v="ORD00424"/>
    <x v="18"/>
    <x v="3"/>
    <n v="25233.95"/>
    <n v="4"/>
    <n v="100935.8"/>
    <x v="257"/>
    <x v="3"/>
    <x v="27"/>
  </r>
  <r>
    <s v="ORD00425"/>
    <x v="0"/>
    <x v="0"/>
    <n v="28577.34"/>
    <n v="1"/>
    <n v="28577.34"/>
    <x v="258"/>
    <x v="1"/>
    <x v="29"/>
  </r>
  <r>
    <s v="ORD00426"/>
    <x v="16"/>
    <x v="4"/>
    <n v="7322.87"/>
    <n v="3"/>
    <n v="21968.61"/>
    <x v="259"/>
    <x v="3"/>
    <x v="40"/>
  </r>
  <r>
    <s v="ORD00427"/>
    <x v="21"/>
    <x v="0"/>
    <n v="25144.48"/>
    <n v="4"/>
    <n v="100577.92"/>
    <x v="260"/>
    <x v="5"/>
    <x v="11"/>
  </r>
  <r>
    <s v="ORD00428"/>
    <x v="5"/>
    <x v="4"/>
    <n v="16289.17"/>
    <n v="5"/>
    <n v="81445.850000000006"/>
    <x v="159"/>
    <x v="5"/>
    <x v="8"/>
  </r>
  <r>
    <s v="ORD00429"/>
    <x v="13"/>
    <x v="0"/>
    <n v="24973.13"/>
    <n v="3"/>
    <n v="74919.39"/>
    <x v="209"/>
    <x v="0"/>
    <x v="3"/>
  </r>
  <r>
    <s v="ORD00430"/>
    <x v="4"/>
    <x v="4"/>
    <n v="5804.38"/>
    <n v="2"/>
    <n v="11608.76"/>
    <x v="52"/>
    <x v="3"/>
    <x v="21"/>
  </r>
  <r>
    <s v="ORD00431"/>
    <x v="1"/>
    <x v="1"/>
    <n v="43502.85"/>
    <n v="1"/>
    <n v="43502.85"/>
    <x v="261"/>
    <x v="5"/>
    <x v="24"/>
  </r>
  <r>
    <s v="ORD00432"/>
    <x v="12"/>
    <x v="3"/>
    <n v="46770.01"/>
    <n v="5"/>
    <n v="233850.05"/>
    <x v="262"/>
    <x v="5"/>
    <x v="36"/>
  </r>
  <r>
    <s v="ORD00433"/>
    <x v="18"/>
    <x v="3"/>
    <n v="38160.980000000003"/>
    <n v="2"/>
    <n v="76321.960000000006"/>
    <x v="263"/>
    <x v="0"/>
    <x v="9"/>
  </r>
  <r>
    <s v="ORD00434"/>
    <x v="20"/>
    <x v="3"/>
    <n v="14797.27"/>
    <n v="2"/>
    <n v="29594.54"/>
    <x v="227"/>
    <x v="1"/>
    <x v="20"/>
  </r>
  <r>
    <s v="ORD00435"/>
    <x v="19"/>
    <x v="2"/>
    <n v="16951.57"/>
    <n v="5"/>
    <n v="84757.85"/>
    <x v="179"/>
    <x v="2"/>
    <x v="6"/>
  </r>
  <r>
    <s v="ORD00436"/>
    <x v="12"/>
    <x v="3"/>
    <n v="20087.650000000001"/>
    <n v="2"/>
    <n v="40175.300000000003"/>
    <x v="75"/>
    <x v="2"/>
    <x v="29"/>
  </r>
  <r>
    <s v="ORD00437"/>
    <x v="2"/>
    <x v="2"/>
    <n v="45544.54"/>
    <n v="4"/>
    <n v="182178.16"/>
    <x v="264"/>
    <x v="3"/>
    <x v="32"/>
  </r>
  <r>
    <s v="ORD00438"/>
    <x v="19"/>
    <x v="2"/>
    <n v="4986.8999999999996"/>
    <n v="1"/>
    <n v="4986.8999999999996"/>
    <x v="97"/>
    <x v="3"/>
    <x v="2"/>
  </r>
  <r>
    <s v="ORD00439"/>
    <x v="16"/>
    <x v="4"/>
    <n v="37890.559999999998"/>
    <n v="1"/>
    <n v="37890.559999999998"/>
    <x v="69"/>
    <x v="3"/>
    <x v="7"/>
  </r>
  <r>
    <s v="ORD00440"/>
    <x v="9"/>
    <x v="3"/>
    <n v="26947.54"/>
    <n v="2"/>
    <n v="53895.08"/>
    <x v="224"/>
    <x v="5"/>
    <x v="27"/>
  </r>
  <r>
    <s v="ORD00441"/>
    <x v="20"/>
    <x v="3"/>
    <n v="16929.740000000002"/>
    <n v="3"/>
    <n v="50789.22"/>
    <x v="265"/>
    <x v="2"/>
    <x v="39"/>
  </r>
  <r>
    <s v="ORD00442"/>
    <x v="12"/>
    <x v="3"/>
    <n v="30310.92"/>
    <n v="3"/>
    <n v="90932.76"/>
    <x v="112"/>
    <x v="1"/>
    <x v="0"/>
  </r>
  <r>
    <s v="ORD00443"/>
    <x v="0"/>
    <x v="0"/>
    <n v="33643.5"/>
    <n v="5"/>
    <n v="168217.5"/>
    <x v="175"/>
    <x v="1"/>
    <x v="24"/>
  </r>
  <r>
    <s v="ORD00444"/>
    <x v="14"/>
    <x v="0"/>
    <n v="27847.81"/>
    <n v="3"/>
    <n v="83543.429999999993"/>
    <x v="266"/>
    <x v="5"/>
    <x v="17"/>
  </r>
  <r>
    <s v="ORD00445"/>
    <x v="0"/>
    <x v="0"/>
    <n v="19055.03"/>
    <n v="3"/>
    <n v="57165.09"/>
    <x v="67"/>
    <x v="4"/>
    <x v="17"/>
  </r>
  <r>
    <s v="ORD00446"/>
    <x v="22"/>
    <x v="0"/>
    <n v="24012.7"/>
    <n v="1"/>
    <n v="24012.7"/>
    <x v="236"/>
    <x v="4"/>
    <x v="38"/>
  </r>
  <r>
    <s v="ORD00447"/>
    <x v="6"/>
    <x v="1"/>
    <n v="8182.19"/>
    <n v="2"/>
    <n v="16364.38"/>
    <x v="95"/>
    <x v="3"/>
    <x v="24"/>
  </r>
  <r>
    <s v="ORD00448"/>
    <x v="17"/>
    <x v="2"/>
    <n v="35810.629999999997"/>
    <n v="4"/>
    <n v="143242.51999999999"/>
    <x v="164"/>
    <x v="1"/>
    <x v="12"/>
  </r>
  <r>
    <s v="ORD00449"/>
    <x v="15"/>
    <x v="1"/>
    <n v="23433.86"/>
    <n v="1"/>
    <n v="23433.86"/>
    <x v="173"/>
    <x v="3"/>
    <x v="28"/>
  </r>
  <r>
    <s v="ORD00450"/>
    <x v="9"/>
    <x v="3"/>
    <n v="42946.11"/>
    <n v="4"/>
    <n v="171784.44"/>
    <x v="140"/>
    <x v="1"/>
    <x v="3"/>
  </r>
  <r>
    <s v="ORD00451"/>
    <x v="6"/>
    <x v="1"/>
    <n v="3995.44"/>
    <n v="4"/>
    <n v="15981.76"/>
    <x v="235"/>
    <x v="0"/>
    <x v="9"/>
  </r>
  <r>
    <s v="ORD00452"/>
    <x v="2"/>
    <x v="2"/>
    <n v="38728.75"/>
    <n v="1"/>
    <n v="38728.75"/>
    <x v="157"/>
    <x v="2"/>
    <x v="9"/>
  </r>
  <r>
    <s v="ORD00453"/>
    <x v="8"/>
    <x v="1"/>
    <n v="46205.47"/>
    <n v="3"/>
    <n v="138616.41"/>
    <x v="65"/>
    <x v="4"/>
    <x v="29"/>
  </r>
  <r>
    <s v="ORD00454"/>
    <x v="1"/>
    <x v="1"/>
    <n v="7631.48"/>
    <n v="3"/>
    <n v="22894.44"/>
    <x v="100"/>
    <x v="0"/>
    <x v="32"/>
  </r>
  <r>
    <s v="ORD00455"/>
    <x v="13"/>
    <x v="0"/>
    <n v="4581.7299999999996"/>
    <n v="4"/>
    <n v="18326.919999999998"/>
    <x v="267"/>
    <x v="4"/>
    <x v="20"/>
  </r>
  <r>
    <s v="ORD00456"/>
    <x v="9"/>
    <x v="3"/>
    <n v="9761.64"/>
    <n v="3"/>
    <n v="29284.92"/>
    <x v="222"/>
    <x v="2"/>
    <x v="15"/>
  </r>
  <r>
    <s v="ORD00457"/>
    <x v="17"/>
    <x v="2"/>
    <n v="1582.84"/>
    <n v="3"/>
    <n v="4748.5200000000004"/>
    <x v="45"/>
    <x v="0"/>
    <x v="36"/>
  </r>
  <r>
    <s v="ORD00458"/>
    <x v="18"/>
    <x v="3"/>
    <n v="8902.26"/>
    <n v="5"/>
    <n v="44511.3"/>
    <x v="219"/>
    <x v="0"/>
    <x v="7"/>
  </r>
  <r>
    <s v="ORD00459"/>
    <x v="23"/>
    <x v="4"/>
    <n v="1549.63"/>
    <n v="1"/>
    <n v="1549.63"/>
    <x v="268"/>
    <x v="3"/>
    <x v="32"/>
  </r>
  <r>
    <s v="ORD00460"/>
    <x v="0"/>
    <x v="0"/>
    <n v="23520.5"/>
    <n v="5"/>
    <n v="117602.5"/>
    <x v="269"/>
    <x v="0"/>
    <x v="12"/>
  </r>
  <r>
    <s v="ORD00461"/>
    <x v="2"/>
    <x v="2"/>
    <n v="18729.61"/>
    <n v="1"/>
    <n v="18729.61"/>
    <x v="220"/>
    <x v="3"/>
    <x v="34"/>
  </r>
  <r>
    <s v="ORD00462"/>
    <x v="22"/>
    <x v="0"/>
    <n v="18085.73"/>
    <n v="3"/>
    <n v="54257.19"/>
    <x v="270"/>
    <x v="5"/>
    <x v="27"/>
  </r>
  <r>
    <s v="ORD00463"/>
    <x v="11"/>
    <x v="2"/>
    <n v="29844.59"/>
    <n v="3"/>
    <n v="89533.77"/>
    <x v="78"/>
    <x v="4"/>
    <x v="1"/>
  </r>
  <r>
    <s v="ORD00464"/>
    <x v="9"/>
    <x v="3"/>
    <n v="12964.52"/>
    <n v="2"/>
    <n v="25929.040000000001"/>
    <x v="81"/>
    <x v="2"/>
    <x v="29"/>
  </r>
  <r>
    <s v="ORD00465"/>
    <x v="9"/>
    <x v="3"/>
    <n v="43431.64"/>
    <n v="5"/>
    <n v="217158.2"/>
    <x v="271"/>
    <x v="4"/>
    <x v="2"/>
  </r>
  <r>
    <s v="ORD00466"/>
    <x v="3"/>
    <x v="3"/>
    <n v="31005.06"/>
    <n v="4"/>
    <n v="124020.24"/>
    <x v="135"/>
    <x v="5"/>
    <x v="9"/>
  </r>
  <r>
    <s v="ORD00467"/>
    <x v="2"/>
    <x v="2"/>
    <n v="16010.24"/>
    <n v="3"/>
    <n v="48030.720000000001"/>
    <x v="126"/>
    <x v="5"/>
    <x v="14"/>
  </r>
  <r>
    <s v="ORD00468"/>
    <x v="20"/>
    <x v="3"/>
    <n v="18451.91"/>
    <n v="5"/>
    <n v="92259.55"/>
    <x v="0"/>
    <x v="1"/>
    <x v="35"/>
  </r>
  <r>
    <s v="ORD00469"/>
    <x v="3"/>
    <x v="3"/>
    <n v="31793.09"/>
    <n v="4"/>
    <n v="127172.36"/>
    <x v="218"/>
    <x v="3"/>
    <x v="38"/>
  </r>
  <r>
    <s v="ORD00470"/>
    <x v="15"/>
    <x v="1"/>
    <n v="36666.620000000003"/>
    <n v="4"/>
    <n v="146666.48000000001"/>
    <x v="228"/>
    <x v="5"/>
    <x v="37"/>
  </r>
  <r>
    <s v="ORD00471"/>
    <x v="12"/>
    <x v="3"/>
    <n v="38681.26"/>
    <n v="1"/>
    <n v="38681.26"/>
    <x v="245"/>
    <x v="3"/>
    <x v="6"/>
  </r>
  <r>
    <s v="ORD00472"/>
    <x v="4"/>
    <x v="4"/>
    <n v="29493.06"/>
    <n v="3"/>
    <n v="88479.18"/>
    <x v="272"/>
    <x v="4"/>
    <x v="24"/>
  </r>
  <r>
    <s v="ORD00473"/>
    <x v="16"/>
    <x v="4"/>
    <n v="30009.200000000001"/>
    <n v="2"/>
    <n v="60018.400000000001"/>
    <x v="54"/>
    <x v="0"/>
    <x v="32"/>
  </r>
  <r>
    <s v="ORD00474"/>
    <x v="15"/>
    <x v="1"/>
    <n v="23089.32"/>
    <n v="2"/>
    <n v="46178.64"/>
    <x v="273"/>
    <x v="5"/>
    <x v="4"/>
  </r>
  <r>
    <s v="ORD00475"/>
    <x v="23"/>
    <x v="4"/>
    <n v="32460.13"/>
    <n v="4"/>
    <n v="129840.52"/>
    <x v="62"/>
    <x v="4"/>
    <x v="13"/>
  </r>
  <r>
    <s v="ORD00476"/>
    <x v="3"/>
    <x v="3"/>
    <n v="29509.14"/>
    <n v="3"/>
    <n v="88527.42"/>
    <x v="274"/>
    <x v="5"/>
    <x v="27"/>
  </r>
  <r>
    <s v="ORD00477"/>
    <x v="0"/>
    <x v="0"/>
    <n v="5528.69"/>
    <n v="3"/>
    <n v="16586.07"/>
    <x v="96"/>
    <x v="0"/>
    <x v="24"/>
  </r>
  <r>
    <s v="ORD00478"/>
    <x v="21"/>
    <x v="0"/>
    <n v="11864.67"/>
    <n v="5"/>
    <n v="59323.35"/>
    <x v="105"/>
    <x v="5"/>
    <x v="18"/>
  </r>
  <r>
    <s v="ORD00479"/>
    <x v="23"/>
    <x v="4"/>
    <n v="14273.74"/>
    <n v="2"/>
    <n v="28547.48"/>
    <x v="143"/>
    <x v="5"/>
    <x v="28"/>
  </r>
  <r>
    <s v="ORD00480"/>
    <x v="0"/>
    <x v="0"/>
    <n v="26806.06"/>
    <n v="3"/>
    <n v="80418.179999999993"/>
    <x v="163"/>
    <x v="2"/>
    <x v="17"/>
  </r>
  <r>
    <s v="ORD00481"/>
    <x v="8"/>
    <x v="1"/>
    <n v="18757.07"/>
    <n v="4"/>
    <n v="75028.28"/>
    <x v="275"/>
    <x v="1"/>
    <x v="24"/>
  </r>
  <r>
    <s v="ORD00482"/>
    <x v="22"/>
    <x v="0"/>
    <n v="19661.09"/>
    <n v="4"/>
    <n v="78644.36"/>
    <x v="113"/>
    <x v="5"/>
    <x v="15"/>
  </r>
  <r>
    <s v="ORD00483"/>
    <x v="22"/>
    <x v="0"/>
    <n v="27434.25"/>
    <n v="1"/>
    <n v="27434.25"/>
    <x v="276"/>
    <x v="3"/>
    <x v="28"/>
  </r>
  <r>
    <s v="ORD00484"/>
    <x v="0"/>
    <x v="0"/>
    <n v="6322.42"/>
    <n v="4"/>
    <n v="25289.68"/>
    <x v="53"/>
    <x v="1"/>
    <x v="9"/>
  </r>
  <r>
    <s v="ORD00485"/>
    <x v="13"/>
    <x v="0"/>
    <n v="4316.82"/>
    <n v="2"/>
    <n v="8633.64"/>
    <x v="108"/>
    <x v="4"/>
    <x v="22"/>
  </r>
  <r>
    <s v="ORD00486"/>
    <x v="24"/>
    <x v="1"/>
    <n v="45426.39"/>
    <n v="4"/>
    <n v="181705.56"/>
    <x v="277"/>
    <x v="5"/>
    <x v="18"/>
  </r>
  <r>
    <s v="ORD00487"/>
    <x v="18"/>
    <x v="3"/>
    <n v="14971.45"/>
    <n v="3"/>
    <n v="44914.35"/>
    <x v="12"/>
    <x v="1"/>
    <x v="16"/>
  </r>
  <r>
    <s v="ORD00488"/>
    <x v="16"/>
    <x v="4"/>
    <n v="12245.12"/>
    <n v="2"/>
    <n v="24490.240000000002"/>
    <x v="222"/>
    <x v="3"/>
    <x v="16"/>
  </r>
  <r>
    <s v="ORD00489"/>
    <x v="14"/>
    <x v="0"/>
    <n v="48405.89"/>
    <n v="4"/>
    <n v="193623.56"/>
    <x v="263"/>
    <x v="2"/>
    <x v="35"/>
  </r>
  <r>
    <s v="ORD00490"/>
    <x v="17"/>
    <x v="2"/>
    <n v="12757.67"/>
    <n v="5"/>
    <n v="63788.35"/>
    <x v="278"/>
    <x v="1"/>
    <x v="26"/>
  </r>
  <r>
    <s v="ORD00491"/>
    <x v="24"/>
    <x v="1"/>
    <n v="33071.089999999997"/>
    <n v="2"/>
    <n v="66142.179999999993"/>
    <x v="157"/>
    <x v="3"/>
    <x v="0"/>
  </r>
  <r>
    <s v="ORD00492"/>
    <x v="17"/>
    <x v="2"/>
    <n v="4869.5600000000004"/>
    <n v="1"/>
    <n v="4869.5600000000004"/>
    <x v="50"/>
    <x v="1"/>
    <x v="30"/>
  </r>
  <r>
    <s v="ORD00493"/>
    <x v="15"/>
    <x v="1"/>
    <n v="45127.31"/>
    <n v="4"/>
    <n v="180509.24"/>
    <x v="101"/>
    <x v="3"/>
    <x v="24"/>
  </r>
  <r>
    <s v="ORD00494"/>
    <x v="16"/>
    <x v="4"/>
    <n v="8867.7199999999993"/>
    <n v="1"/>
    <n v="8867.7199999999993"/>
    <x v="29"/>
    <x v="5"/>
    <x v="17"/>
  </r>
  <r>
    <s v="ORD00495"/>
    <x v="4"/>
    <x v="4"/>
    <n v="31749.94"/>
    <n v="1"/>
    <n v="31749.94"/>
    <x v="99"/>
    <x v="3"/>
    <x v="4"/>
  </r>
  <r>
    <s v="ORD00496"/>
    <x v="19"/>
    <x v="2"/>
    <n v="40944.769999999997"/>
    <n v="2"/>
    <n v="81889.539999999994"/>
    <x v="279"/>
    <x v="4"/>
    <x v="36"/>
  </r>
  <r>
    <s v="ORD00497"/>
    <x v="7"/>
    <x v="4"/>
    <n v="20859.61"/>
    <n v="4"/>
    <n v="83438.44"/>
    <x v="280"/>
    <x v="2"/>
    <x v="35"/>
  </r>
  <r>
    <s v="ORD00498"/>
    <x v="0"/>
    <x v="0"/>
    <n v="6884.74"/>
    <n v="5"/>
    <n v="34423.699999999997"/>
    <x v="172"/>
    <x v="5"/>
    <x v="23"/>
  </r>
  <r>
    <s v="ORD00499"/>
    <x v="1"/>
    <x v="1"/>
    <n v="40238.5"/>
    <n v="3"/>
    <n v="120715.5"/>
    <x v="24"/>
    <x v="2"/>
    <x v="1"/>
  </r>
  <r>
    <s v="ORD00500"/>
    <x v="12"/>
    <x v="3"/>
    <n v="10422.280000000001"/>
    <n v="5"/>
    <n v="52111.4"/>
    <x v="281"/>
    <x v="5"/>
    <x v="0"/>
  </r>
  <r>
    <s v="ORD00501"/>
    <x v="22"/>
    <x v="0"/>
    <n v="13862.56"/>
    <n v="1"/>
    <n v="13862.56"/>
    <x v="123"/>
    <x v="2"/>
    <x v="14"/>
  </r>
  <r>
    <s v="ORD00502"/>
    <x v="2"/>
    <x v="2"/>
    <n v="35911.22"/>
    <n v="4"/>
    <n v="143644.88"/>
    <x v="0"/>
    <x v="4"/>
    <x v="27"/>
  </r>
  <r>
    <s v="ORD00503"/>
    <x v="8"/>
    <x v="1"/>
    <n v="16523.689999999999"/>
    <n v="3"/>
    <n v="49571.07"/>
    <x v="173"/>
    <x v="4"/>
    <x v="18"/>
  </r>
  <r>
    <s v="ORD00504"/>
    <x v="11"/>
    <x v="2"/>
    <n v="6566.03"/>
    <n v="5"/>
    <n v="32830.15"/>
    <x v="112"/>
    <x v="3"/>
    <x v="8"/>
  </r>
  <r>
    <s v="ORD00505"/>
    <x v="16"/>
    <x v="4"/>
    <n v="18799.05"/>
    <n v="3"/>
    <n v="56397.15"/>
    <x v="178"/>
    <x v="1"/>
    <x v="17"/>
  </r>
  <r>
    <s v="ORD00506"/>
    <x v="20"/>
    <x v="3"/>
    <n v="8436.7099999999991"/>
    <n v="5"/>
    <n v="42183.55"/>
    <x v="10"/>
    <x v="2"/>
    <x v="35"/>
  </r>
  <r>
    <s v="ORD00507"/>
    <x v="4"/>
    <x v="4"/>
    <n v="19380.5"/>
    <n v="4"/>
    <n v="77522"/>
    <x v="19"/>
    <x v="1"/>
    <x v="26"/>
  </r>
  <r>
    <s v="ORD00508"/>
    <x v="11"/>
    <x v="2"/>
    <n v="20228.05"/>
    <n v="3"/>
    <n v="60684.15"/>
    <x v="178"/>
    <x v="1"/>
    <x v="12"/>
  </r>
  <r>
    <s v="ORD00509"/>
    <x v="18"/>
    <x v="3"/>
    <n v="28606.86"/>
    <n v="5"/>
    <n v="143034.29999999999"/>
    <x v="184"/>
    <x v="1"/>
    <x v="38"/>
  </r>
  <r>
    <s v="ORD00510"/>
    <x v="21"/>
    <x v="0"/>
    <n v="16803.759999999998"/>
    <n v="4"/>
    <n v="67215.039999999994"/>
    <x v="235"/>
    <x v="2"/>
    <x v="9"/>
  </r>
  <r>
    <s v="ORD00511"/>
    <x v="2"/>
    <x v="2"/>
    <n v="18093.34"/>
    <n v="5"/>
    <n v="90466.7"/>
    <x v="282"/>
    <x v="4"/>
    <x v="24"/>
  </r>
  <r>
    <s v="ORD00512"/>
    <x v="9"/>
    <x v="3"/>
    <n v="31737.13"/>
    <n v="5"/>
    <n v="158685.65"/>
    <x v="77"/>
    <x v="5"/>
    <x v="9"/>
  </r>
  <r>
    <s v="ORD00513"/>
    <x v="11"/>
    <x v="2"/>
    <n v="49861.17"/>
    <n v="3"/>
    <n v="149583.51"/>
    <x v="79"/>
    <x v="1"/>
    <x v="15"/>
  </r>
  <r>
    <s v="ORD00514"/>
    <x v="0"/>
    <x v="0"/>
    <n v="21233.35"/>
    <n v="1"/>
    <n v="21233.35"/>
    <x v="156"/>
    <x v="3"/>
    <x v="5"/>
  </r>
  <r>
    <s v="ORD00515"/>
    <x v="23"/>
    <x v="4"/>
    <n v="776.91"/>
    <n v="5"/>
    <n v="3884.55"/>
    <x v="70"/>
    <x v="3"/>
    <x v="24"/>
  </r>
  <r>
    <s v="ORD00516"/>
    <x v="11"/>
    <x v="2"/>
    <n v="25542.71"/>
    <n v="1"/>
    <n v="25542.71"/>
    <x v="38"/>
    <x v="1"/>
    <x v="21"/>
  </r>
  <r>
    <s v="ORD00517"/>
    <x v="6"/>
    <x v="1"/>
    <n v="10818.28"/>
    <n v="5"/>
    <n v="54091.4"/>
    <x v="135"/>
    <x v="1"/>
    <x v="14"/>
  </r>
  <r>
    <s v="ORD00518"/>
    <x v="9"/>
    <x v="3"/>
    <n v="45801.19"/>
    <n v="5"/>
    <n v="229005.95"/>
    <x v="151"/>
    <x v="4"/>
    <x v="7"/>
  </r>
  <r>
    <s v="ORD00519"/>
    <x v="2"/>
    <x v="2"/>
    <n v="6963.56"/>
    <n v="2"/>
    <n v="13927.12"/>
    <x v="87"/>
    <x v="0"/>
    <x v="26"/>
  </r>
  <r>
    <s v="ORD00520"/>
    <x v="12"/>
    <x v="3"/>
    <n v="37082.11"/>
    <n v="1"/>
    <n v="37082.11"/>
    <x v="240"/>
    <x v="1"/>
    <x v="2"/>
  </r>
  <r>
    <s v="ORD00521"/>
    <x v="14"/>
    <x v="0"/>
    <n v="6842.69"/>
    <n v="1"/>
    <n v="6842.69"/>
    <x v="246"/>
    <x v="1"/>
    <x v="22"/>
  </r>
  <r>
    <s v="ORD00522"/>
    <x v="10"/>
    <x v="2"/>
    <n v="7283.96"/>
    <n v="1"/>
    <n v="7283.96"/>
    <x v="61"/>
    <x v="3"/>
    <x v="6"/>
  </r>
  <r>
    <s v="ORD00523"/>
    <x v="4"/>
    <x v="4"/>
    <n v="218.58"/>
    <n v="5"/>
    <n v="1092.9000000000001"/>
    <x v="112"/>
    <x v="2"/>
    <x v="38"/>
  </r>
  <r>
    <s v="ORD00524"/>
    <x v="18"/>
    <x v="3"/>
    <n v="38689.699999999997"/>
    <n v="3"/>
    <n v="116069.1"/>
    <x v="228"/>
    <x v="0"/>
    <x v="30"/>
  </r>
  <r>
    <s v="ORD00525"/>
    <x v="7"/>
    <x v="4"/>
    <n v="8863.9699999999993"/>
    <n v="2"/>
    <n v="17727.939999999999"/>
    <x v="283"/>
    <x v="1"/>
    <x v="16"/>
  </r>
  <r>
    <s v="ORD00526"/>
    <x v="6"/>
    <x v="1"/>
    <n v="12472.17"/>
    <n v="5"/>
    <n v="62360.85"/>
    <x v="264"/>
    <x v="1"/>
    <x v="30"/>
  </r>
  <r>
    <s v="ORD00527"/>
    <x v="1"/>
    <x v="1"/>
    <n v="8734.44"/>
    <n v="1"/>
    <n v="8734.44"/>
    <x v="35"/>
    <x v="0"/>
    <x v="15"/>
  </r>
  <r>
    <s v="ORD00528"/>
    <x v="10"/>
    <x v="2"/>
    <n v="32422.04"/>
    <n v="5"/>
    <n v="162110.20000000001"/>
    <x v="148"/>
    <x v="5"/>
    <x v="30"/>
  </r>
  <r>
    <s v="ORD00529"/>
    <x v="18"/>
    <x v="3"/>
    <n v="45532.34"/>
    <n v="5"/>
    <n v="227661.7"/>
    <x v="62"/>
    <x v="4"/>
    <x v="22"/>
  </r>
  <r>
    <s v="ORD00530"/>
    <x v="2"/>
    <x v="2"/>
    <n v="22534.799999999999"/>
    <n v="4"/>
    <n v="90139.199999999997"/>
    <x v="53"/>
    <x v="3"/>
    <x v="23"/>
  </r>
  <r>
    <s v="ORD00531"/>
    <x v="22"/>
    <x v="0"/>
    <n v="26058.55"/>
    <n v="1"/>
    <n v="26058.55"/>
    <x v="114"/>
    <x v="1"/>
    <x v="6"/>
  </r>
  <r>
    <s v="ORD00532"/>
    <x v="16"/>
    <x v="4"/>
    <n v="13348.84"/>
    <n v="2"/>
    <n v="26697.68"/>
    <x v="251"/>
    <x v="3"/>
    <x v="24"/>
  </r>
  <r>
    <s v="ORD00533"/>
    <x v="7"/>
    <x v="4"/>
    <n v="46792.3"/>
    <n v="1"/>
    <n v="46792.3"/>
    <x v="175"/>
    <x v="4"/>
    <x v="35"/>
  </r>
  <r>
    <s v="ORD00534"/>
    <x v="23"/>
    <x v="4"/>
    <n v="15764.25"/>
    <n v="4"/>
    <n v="63057"/>
    <x v="241"/>
    <x v="3"/>
    <x v="9"/>
  </r>
  <r>
    <s v="ORD00535"/>
    <x v="3"/>
    <x v="3"/>
    <n v="45019"/>
    <n v="5"/>
    <n v="225095"/>
    <x v="238"/>
    <x v="3"/>
    <x v="25"/>
  </r>
  <r>
    <s v="ORD00536"/>
    <x v="24"/>
    <x v="1"/>
    <n v="42794.400000000001"/>
    <n v="4"/>
    <n v="171177.60000000001"/>
    <x v="94"/>
    <x v="3"/>
    <x v="33"/>
  </r>
  <r>
    <s v="ORD00537"/>
    <x v="0"/>
    <x v="0"/>
    <n v="492.53"/>
    <n v="1"/>
    <n v="492.53"/>
    <x v="252"/>
    <x v="4"/>
    <x v="2"/>
  </r>
  <r>
    <s v="ORD00538"/>
    <x v="23"/>
    <x v="4"/>
    <n v="30721.51"/>
    <n v="4"/>
    <n v="122886.04"/>
    <x v="55"/>
    <x v="2"/>
    <x v="20"/>
  </r>
  <r>
    <s v="ORD00539"/>
    <x v="4"/>
    <x v="4"/>
    <n v="17162.64"/>
    <n v="3"/>
    <n v="51487.92"/>
    <x v="270"/>
    <x v="3"/>
    <x v="25"/>
  </r>
  <r>
    <s v="ORD00540"/>
    <x v="14"/>
    <x v="0"/>
    <n v="45888.54"/>
    <n v="3"/>
    <n v="137665.62"/>
    <x v="61"/>
    <x v="4"/>
    <x v="6"/>
  </r>
  <r>
    <s v="ORD00541"/>
    <x v="7"/>
    <x v="4"/>
    <n v="49052.43"/>
    <n v="3"/>
    <n v="147157.29"/>
    <x v="141"/>
    <x v="0"/>
    <x v="16"/>
  </r>
  <r>
    <s v="ORD00542"/>
    <x v="23"/>
    <x v="4"/>
    <n v="2435.9699999999998"/>
    <n v="1"/>
    <n v="2435.9699999999998"/>
    <x v="13"/>
    <x v="4"/>
    <x v="10"/>
  </r>
  <r>
    <s v="ORD00543"/>
    <x v="7"/>
    <x v="4"/>
    <n v="48128.02"/>
    <n v="4"/>
    <n v="192512.08"/>
    <x v="284"/>
    <x v="2"/>
    <x v="3"/>
  </r>
  <r>
    <s v="ORD00544"/>
    <x v="10"/>
    <x v="2"/>
    <n v="47111.56"/>
    <n v="5"/>
    <n v="235557.8"/>
    <x v="285"/>
    <x v="1"/>
    <x v="36"/>
  </r>
  <r>
    <s v="ORD00545"/>
    <x v="0"/>
    <x v="0"/>
    <n v="8091.3"/>
    <n v="5"/>
    <n v="40456.5"/>
    <x v="225"/>
    <x v="4"/>
    <x v="6"/>
  </r>
  <r>
    <s v="ORD00546"/>
    <x v="16"/>
    <x v="4"/>
    <n v="43217.1"/>
    <n v="5"/>
    <n v="216085.5"/>
    <x v="1"/>
    <x v="0"/>
    <x v="8"/>
  </r>
  <r>
    <s v="ORD00547"/>
    <x v="8"/>
    <x v="1"/>
    <n v="35592.76"/>
    <n v="2"/>
    <n v="71185.52"/>
    <x v="59"/>
    <x v="0"/>
    <x v="33"/>
  </r>
  <r>
    <s v="ORD00548"/>
    <x v="17"/>
    <x v="2"/>
    <n v="9534.89"/>
    <n v="5"/>
    <n v="47674.45"/>
    <x v="90"/>
    <x v="5"/>
    <x v="24"/>
  </r>
  <r>
    <s v="ORD00549"/>
    <x v="19"/>
    <x v="2"/>
    <n v="46990.87"/>
    <n v="4"/>
    <n v="187963.48"/>
    <x v="198"/>
    <x v="3"/>
    <x v="5"/>
  </r>
  <r>
    <s v="ORD00550"/>
    <x v="7"/>
    <x v="4"/>
    <n v="31137.03"/>
    <n v="5"/>
    <n v="155685.15"/>
    <x v="286"/>
    <x v="4"/>
    <x v="8"/>
  </r>
  <r>
    <s v="ORD00551"/>
    <x v="18"/>
    <x v="3"/>
    <n v="35821.160000000003"/>
    <n v="4"/>
    <n v="143284.64000000001"/>
    <x v="197"/>
    <x v="0"/>
    <x v="37"/>
  </r>
  <r>
    <s v="ORD00552"/>
    <x v="19"/>
    <x v="2"/>
    <n v="28156.95"/>
    <n v="5"/>
    <n v="140784.75"/>
    <x v="59"/>
    <x v="1"/>
    <x v="29"/>
  </r>
  <r>
    <s v="ORD00553"/>
    <x v="11"/>
    <x v="2"/>
    <n v="9335.19"/>
    <n v="2"/>
    <n v="18670.38"/>
    <x v="43"/>
    <x v="3"/>
    <x v="1"/>
  </r>
  <r>
    <s v="ORD00554"/>
    <x v="15"/>
    <x v="1"/>
    <n v="25114.77"/>
    <n v="2"/>
    <n v="50229.54"/>
    <x v="287"/>
    <x v="3"/>
    <x v="22"/>
  </r>
  <r>
    <s v="ORD00555"/>
    <x v="11"/>
    <x v="2"/>
    <n v="19961.03"/>
    <n v="3"/>
    <n v="59883.09"/>
    <x v="43"/>
    <x v="4"/>
    <x v="36"/>
  </r>
  <r>
    <s v="ORD00556"/>
    <x v="18"/>
    <x v="3"/>
    <n v="38488.04"/>
    <n v="2"/>
    <n v="76976.08"/>
    <x v="95"/>
    <x v="1"/>
    <x v="19"/>
  </r>
  <r>
    <s v="ORD00557"/>
    <x v="10"/>
    <x v="2"/>
    <n v="20202.560000000001"/>
    <n v="5"/>
    <n v="101012.8"/>
    <x v="288"/>
    <x v="4"/>
    <x v="22"/>
  </r>
  <r>
    <s v="ORD00558"/>
    <x v="20"/>
    <x v="3"/>
    <n v="39008.370000000003"/>
    <n v="3"/>
    <n v="117025.11"/>
    <x v="234"/>
    <x v="5"/>
    <x v="21"/>
  </r>
  <r>
    <s v="ORD00559"/>
    <x v="10"/>
    <x v="2"/>
    <n v="9946.27"/>
    <n v="1"/>
    <n v="9946.27"/>
    <x v="143"/>
    <x v="4"/>
    <x v="19"/>
  </r>
  <r>
    <s v="ORD00560"/>
    <x v="15"/>
    <x v="1"/>
    <n v="7994.76"/>
    <n v="5"/>
    <n v="39973.800000000003"/>
    <x v="289"/>
    <x v="0"/>
    <x v="39"/>
  </r>
  <r>
    <s v="ORD00561"/>
    <x v="4"/>
    <x v="4"/>
    <n v="6341.62"/>
    <n v="3"/>
    <n v="19024.86"/>
    <x v="87"/>
    <x v="4"/>
    <x v="2"/>
  </r>
  <r>
    <s v="ORD00562"/>
    <x v="1"/>
    <x v="1"/>
    <n v="37503.57"/>
    <n v="4"/>
    <n v="150014.28"/>
    <x v="220"/>
    <x v="3"/>
    <x v="31"/>
  </r>
  <r>
    <s v="ORD00563"/>
    <x v="21"/>
    <x v="0"/>
    <n v="36760.35"/>
    <n v="1"/>
    <n v="36760.35"/>
    <x v="222"/>
    <x v="4"/>
    <x v="39"/>
  </r>
  <r>
    <s v="ORD00564"/>
    <x v="8"/>
    <x v="1"/>
    <n v="38023.86"/>
    <n v="5"/>
    <n v="190119.3"/>
    <x v="135"/>
    <x v="4"/>
    <x v="37"/>
  </r>
  <r>
    <s v="ORD00565"/>
    <x v="24"/>
    <x v="1"/>
    <n v="17983.34"/>
    <n v="1"/>
    <n v="17983.34"/>
    <x v="124"/>
    <x v="3"/>
    <x v="39"/>
  </r>
  <r>
    <s v="ORD00566"/>
    <x v="16"/>
    <x v="4"/>
    <n v="25457.34"/>
    <n v="5"/>
    <n v="127286.7"/>
    <x v="120"/>
    <x v="1"/>
    <x v="17"/>
  </r>
  <r>
    <s v="ORD00567"/>
    <x v="22"/>
    <x v="0"/>
    <n v="26220.67"/>
    <n v="4"/>
    <n v="104882.68"/>
    <x v="285"/>
    <x v="5"/>
    <x v="26"/>
  </r>
  <r>
    <s v="ORD00568"/>
    <x v="0"/>
    <x v="0"/>
    <n v="48670.07"/>
    <n v="1"/>
    <n v="48670.07"/>
    <x v="178"/>
    <x v="1"/>
    <x v="24"/>
  </r>
  <r>
    <s v="ORD00569"/>
    <x v="12"/>
    <x v="3"/>
    <n v="12197.36"/>
    <n v="5"/>
    <n v="60986.8"/>
    <x v="200"/>
    <x v="0"/>
    <x v="0"/>
  </r>
  <r>
    <s v="ORD00570"/>
    <x v="9"/>
    <x v="3"/>
    <n v="14488.22"/>
    <n v="4"/>
    <n v="57952.88"/>
    <x v="290"/>
    <x v="5"/>
    <x v="29"/>
  </r>
  <r>
    <s v="ORD00571"/>
    <x v="7"/>
    <x v="4"/>
    <n v="33547.94"/>
    <n v="2"/>
    <n v="67095.88"/>
    <x v="101"/>
    <x v="5"/>
    <x v="19"/>
  </r>
  <r>
    <s v="ORD00572"/>
    <x v="6"/>
    <x v="1"/>
    <n v="4800.26"/>
    <n v="5"/>
    <n v="24001.3"/>
    <x v="125"/>
    <x v="1"/>
    <x v="21"/>
  </r>
  <r>
    <s v="ORD00573"/>
    <x v="4"/>
    <x v="4"/>
    <n v="36429.57"/>
    <n v="4"/>
    <n v="145718.28"/>
    <x v="61"/>
    <x v="4"/>
    <x v="33"/>
  </r>
  <r>
    <s v="ORD00574"/>
    <x v="9"/>
    <x v="3"/>
    <n v="29775.43"/>
    <n v="4"/>
    <n v="119101.72"/>
    <x v="244"/>
    <x v="0"/>
    <x v="33"/>
  </r>
  <r>
    <s v="ORD00575"/>
    <x v="10"/>
    <x v="2"/>
    <n v="10736.32"/>
    <n v="3"/>
    <n v="32208.959999999999"/>
    <x v="30"/>
    <x v="1"/>
    <x v="13"/>
  </r>
  <r>
    <s v="ORD00576"/>
    <x v="22"/>
    <x v="0"/>
    <n v="8005.02"/>
    <n v="5"/>
    <n v="40025.1"/>
    <x v="92"/>
    <x v="1"/>
    <x v="15"/>
  </r>
  <r>
    <s v="ORD00577"/>
    <x v="10"/>
    <x v="2"/>
    <n v="32078.48"/>
    <n v="3"/>
    <n v="96235.44"/>
    <x v="154"/>
    <x v="4"/>
    <x v="16"/>
  </r>
  <r>
    <s v="ORD00578"/>
    <x v="3"/>
    <x v="3"/>
    <n v="31277.18"/>
    <n v="1"/>
    <n v="31277.18"/>
    <x v="45"/>
    <x v="0"/>
    <x v="32"/>
  </r>
  <r>
    <s v="ORD00579"/>
    <x v="20"/>
    <x v="3"/>
    <n v="31094.13"/>
    <n v="1"/>
    <n v="31094.13"/>
    <x v="279"/>
    <x v="1"/>
    <x v="29"/>
  </r>
  <r>
    <s v="ORD00580"/>
    <x v="13"/>
    <x v="0"/>
    <n v="15881.67"/>
    <n v="4"/>
    <n v="63526.68"/>
    <x v="243"/>
    <x v="2"/>
    <x v="17"/>
  </r>
  <r>
    <s v="ORD00581"/>
    <x v="8"/>
    <x v="1"/>
    <n v="16129.77"/>
    <n v="4"/>
    <n v="64519.08"/>
    <x v="291"/>
    <x v="0"/>
    <x v="34"/>
  </r>
  <r>
    <s v="ORD00582"/>
    <x v="17"/>
    <x v="2"/>
    <n v="39478.69"/>
    <n v="5"/>
    <n v="197393.45"/>
    <x v="21"/>
    <x v="4"/>
    <x v="29"/>
  </r>
  <r>
    <s v="ORD00583"/>
    <x v="13"/>
    <x v="0"/>
    <n v="29635.8"/>
    <n v="3"/>
    <n v="88907.4"/>
    <x v="292"/>
    <x v="4"/>
    <x v="12"/>
  </r>
  <r>
    <s v="ORD00584"/>
    <x v="3"/>
    <x v="3"/>
    <n v="7892.27"/>
    <n v="2"/>
    <n v="15784.54"/>
    <x v="108"/>
    <x v="5"/>
    <x v="19"/>
  </r>
  <r>
    <s v="ORD00585"/>
    <x v="9"/>
    <x v="3"/>
    <n v="45112.24"/>
    <n v="3"/>
    <n v="135336.72"/>
    <x v="171"/>
    <x v="2"/>
    <x v="25"/>
  </r>
  <r>
    <s v="ORD00586"/>
    <x v="1"/>
    <x v="1"/>
    <n v="26527.78"/>
    <n v="4"/>
    <n v="106111.12"/>
    <x v="40"/>
    <x v="5"/>
    <x v="13"/>
  </r>
  <r>
    <s v="ORD00587"/>
    <x v="4"/>
    <x v="4"/>
    <n v="37170.400000000001"/>
    <n v="5"/>
    <n v="185852"/>
    <x v="293"/>
    <x v="0"/>
    <x v="13"/>
  </r>
  <r>
    <s v="ORD00588"/>
    <x v="1"/>
    <x v="1"/>
    <n v="47535.79"/>
    <n v="5"/>
    <n v="237678.95"/>
    <x v="40"/>
    <x v="0"/>
    <x v="31"/>
  </r>
  <r>
    <s v="ORD00589"/>
    <x v="16"/>
    <x v="4"/>
    <n v="30252.89"/>
    <n v="4"/>
    <n v="121011.56"/>
    <x v="253"/>
    <x v="2"/>
    <x v="27"/>
  </r>
  <r>
    <s v="ORD00590"/>
    <x v="6"/>
    <x v="1"/>
    <n v="3126.9"/>
    <n v="3"/>
    <n v="9380.7000000000007"/>
    <x v="46"/>
    <x v="3"/>
    <x v="30"/>
  </r>
  <r>
    <s v="ORD00591"/>
    <x v="22"/>
    <x v="0"/>
    <n v="40295.47"/>
    <n v="3"/>
    <n v="120886.41"/>
    <x v="294"/>
    <x v="1"/>
    <x v="18"/>
  </r>
  <r>
    <s v="ORD00592"/>
    <x v="10"/>
    <x v="2"/>
    <n v="462"/>
    <n v="4"/>
    <n v="1848"/>
    <x v="170"/>
    <x v="3"/>
    <x v="20"/>
  </r>
  <r>
    <s v="ORD00593"/>
    <x v="11"/>
    <x v="2"/>
    <n v="22475.54"/>
    <n v="3"/>
    <n v="67426.62"/>
    <x v="233"/>
    <x v="1"/>
    <x v="14"/>
  </r>
  <r>
    <s v="ORD00594"/>
    <x v="20"/>
    <x v="3"/>
    <n v="19218.55"/>
    <n v="2"/>
    <n v="38437.1"/>
    <x v="210"/>
    <x v="2"/>
    <x v="16"/>
  </r>
  <r>
    <s v="ORD00595"/>
    <x v="3"/>
    <x v="3"/>
    <n v="31162.39"/>
    <n v="5"/>
    <n v="155811.95000000001"/>
    <x v="25"/>
    <x v="4"/>
    <x v="20"/>
  </r>
  <r>
    <s v="ORD00596"/>
    <x v="17"/>
    <x v="2"/>
    <n v="16017.54"/>
    <n v="1"/>
    <n v="16017.54"/>
    <x v="176"/>
    <x v="1"/>
    <x v="0"/>
  </r>
  <r>
    <s v="ORD00597"/>
    <x v="4"/>
    <x v="4"/>
    <n v="19008.810000000001"/>
    <n v="4"/>
    <n v="76035.240000000005"/>
    <x v="64"/>
    <x v="3"/>
    <x v="24"/>
  </r>
  <r>
    <s v="ORD00598"/>
    <x v="20"/>
    <x v="3"/>
    <n v="22353.43"/>
    <n v="3"/>
    <n v="67060.289999999994"/>
    <x v="141"/>
    <x v="0"/>
    <x v="11"/>
  </r>
  <r>
    <s v="ORD00599"/>
    <x v="5"/>
    <x v="4"/>
    <n v="30122.28"/>
    <n v="5"/>
    <n v="150611.4"/>
    <x v="165"/>
    <x v="1"/>
    <x v="38"/>
  </r>
  <r>
    <s v="ORD00600"/>
    <x v="9"/>
    <x v="3"/>
    <n v="7289.72"/>
    <n v="5"/>
    <n v="36448.6"/>
    <x v="195"/>
    <x v="2"/>
    <x v="30"/>
  </r>
  <r>
    <s v="ORD00601"/>
    <x v="3"/>
    <x v="3"/>
    <n v="32122.43"/>
    <n v="4"/>
    <n v="128489.72"/>
    <x v="259"/>
    <x v="3"/>
    <x v="18"/>
  </r>
  <r>
    <s v="ORD00602"/>
    <x v="6"/>
    <x v="1"/>
    <n v="43852.34"/>
    <n v="3"/>
    <n v="131557.01999999999"/>
    <x v="280"/>
    <x v="5"/>
    <x v="24"/>
  </r>
  <r>
    <s v="ORD00603"/>
    <x v="16"/>
    <x v="4"/>
    <n v="23005.86"/>
    <n v="1"/>
    <n v="23005.86"/>
    <x v="100"/>
    <x v="4"/>
    <x v="38"/>
  </r>
  <r>
    <s v="ORD00604"/>
    <x v="6"/>
    <x v="1"/>
    <n v="48580.6"/>
    <n v="1"/>
    <n v="48580.6"/>
    <x v="39"/>
    <x v="1"/>
    <x v="32"/>
  </r>
  <r>
    <s v="ORD00605"/>
    <x v="2"/>
    <x v="2"/>
    <n v="10320.870000000001"/>
    <n v="5"/>
    <n v="51604.35"/>
    <x v="295"/>
    <x v="2"/>
    <x v="18"/>
  </r>
  <r>
    <s v="ORD00606"/>
    <x v="4"/>
    <x v="4"/>
    <n v="43149.24"/>
    <n v="1"/>
    <n v="43149.24"/>
    <x v="296"/>
    <x v="1"/>
    <x v="30"/>
  </r>
  <r>
    <s v="ORD00607"/>
    <x v="22"/>
    <x v="0"/>
    <n v="567.80999999999995"/>
    <n v="4"/>
    <n v="2271.2399999999998"/>
    <x v="297"/>
    <x v="2"/>
    <x v="16"/>
  </r>
  <r>
    <s v="ORD00608"/>
    <x v="13"/>
    <x v="0"/>
    <n v="6705.43"/>
    <n v="5"/>
    <n v="33527.15"/>
    <x v="186"/>
    <x v="2"/>
    <x v="16"/>
  </r>
  <r>
    <s v="ORD00609"/>
    <x v="15"/>
    <x v="1"/>
    <n v="29974.35"/>
    <n v="5"/>
    <n v="149871.75"/>
    <x v="116"/>
    <x v="2"/>
    <x v="4"/>
  </r>
  <r>
    <s v="ORD00610"/>
    <x v="9"/>
    <x v="3"/>
    <n v="5739.3"/>
    <n v="4"/>
    <n v="22957.200000000001"/>
    <x v="30"/>
    <x v="4"/>
    <x v="33"/>
  </r>
  <r>
    <s v="ORD00611"/>
    <x v="1"/>
    <x v="1"/>
    <n v="21417.72"/>
    <n v="4"/>
    <n v="85670.88"/>
    <x v="298"/>
    <x v="0"/>
    <x v="16"/>
  </r>
  <r>
    <s v="ORD00612"/>
    <x v="7"/>
    <x v="4"/>
    <n v="25404.68"/>
    <n v="4"/>
    <n v="101618.72"/>
    <x v="111"/>
    <x v="4"/>
    <x v="33"/>
  </r>
  <r>
    <s v="ORD00613"/>
    <x v="5"/>
    <x v="4"/>
    <n v="27582.01"/>
    <n v="2"/>
    <n v="55164.02"/>
    <x v="66"/>
    <x v="0"/>
    <x v="39"/>
  </r>
  <r>
    <s v="ORD00614"/>
    <x v="16"/>
    <x v="4"/>
    <n v="23584.89"/>
    <n v="3"/>
    <n v="70754.67"/>
    <x v="89"/>
    <x v="2"/>
    <x v="27"/>
  </r>
  <r>
    <s v="ORD00615"/>
    <x v="0"/>
    <x v="0"/>
    <n v="24444.89"/>
    <n v="3"/>
    <n v="73334.67"/>
    <x v="299"/>
    <x v="2"/>
    <x v="12"/>
  </r>
  <r>
    <s v="ORD00616"/>
    <x v="24"/>
    <x v="1"/>
    <n v="8080.22"/>
    <n v="2"/>
    <n v="16160.44"/>
    <x v="213"/>
    <x v="0"/>
    <x v="22"/>
  </r>
  <r>
    <s v="ORD00617"/>
    <x v="11"/>
    <x v="2"/>
    <n v="27860.799999999999"/>
    <n v="2"/>
    <n v="55721.599999999999"/>
    <x v="90"/>
    <x v="4"/>
    <x v="8"/>
  </r>
  <r>
    <s v="ORD00618"/>
    <x v="21"/>
    <x v="0"/>
    <n v="30468.47"/>
    <n v="3"/>
    <n v="91405.41"/>
    <x v="33"/>
    <x v="4"/>
    <x v="5"/>
  </r>
  <r>
    <s v="ORD00619"/>
    <x v="11"/>
    <x v="2"/>
    <n v="7718.78"/>
    <n v="1"/>
    <n v="7718.78"/>
    <x v="166"/>
    <x v="0"/>
    <x v="19"/>
  </r>
  <r>
    <s v="ORD00620"/>
    <x v="2"/>
    <x v="2"/>
    <n v="34866.42"/>
    <n v="1"/>
    <n v="34866.42"/>
    <x v="1"/>
    <x v="3"/>
    <x v="22"/>
  </r>
  <r>
    <s v="ORD00621"/>
    <x v="6"/>
    <x v="1"/>
    <n v="5369.5"/>
    <n v="1"/>
    <n v="5369.5"/>
    <x v="39"/>
    <x v="3"/>
    <x v="3"/>
  </r>
  <r>
    <s v="ORD00622"/>
    <x v="10"/>
    <x v="2"/>
    <n v="18338.759999999998"/>
    <n v="5"/>
    <n v="91693.8"/>
    <x v="40"/>
    <x v="2"/>
    <x v="9"/>
  </r>
  <r>
    <s v="ORD00623"/>
    <x v="20"/>
    <x v="3"/>
    <n v="48287.49"/>
    <n v="4"/>
    <n v="193149.96"/>
    <x v="43"/>
    <x v="1"/>
    <x v="19"/>
  </r>
  <r>
    <s v="ORD00624"/>
    <x v="15"/>
    <x v="1"/>
    <n v="18161.009999999998"/>
    <n v="4"/>
    <n v="72644.039999999994"/>
    <x v="196"/>
    <x v="4"/>
    <x v="10"/>
  </r>
  <r>
    <s v="ORD00625"/>
    <x v="1"/>
    <x v="1"/>
    <n v="21064.01"/>
    <n v="3"/>
    <n v="63192.03"/>
    <x v="90"/>
    <x v="5"/>
    <x v="30"/>
  </r>
  <r>
    <s v="ORD00626"/>
    <x v="21"/>
    <x v="0"/>
    <n v="8598.2199999999993"/>
    <n v="5"/>
    <n v="42991.1"/>
    <x v="197"/>
    <x v="1"/>
    <x v="23"/>
  </r>
  <r>
    <s v="ORD00627"/>
    <x v="3"/>
    <x v="3"/>
    <n v="27897.4"/>
    <n v="2"/>
    <n v="55794.8"/>
    <x v="206"/>
    <x v="3"/>
    <x v="31"/>
  </r>
  <r>
    <s v="ORD00628"/>
    <x v="11"/>
    <x v="2"/>
    <n v="3153.16"/>
    <n v="2"/>
    <n v="6306.32"/>
    <x v="222"/>
    <x v="5"/>
    <x v="2"/>
  </r>
  <r>
    <s v="ORD00629"/>
    <x v="20"/>
    <x v="3"/>
    <n v="25634.9"/>
    <n v="1"/>
    <n v="25634.9"/>
    <x v="29"/>
    <x v="5"/>
    <x v="17"/>
  </r>
  <r>
    <s v="ORD00630"/>
    <x v="12"/>
    <x v="3"/>
    <n v="9427.83"/>
    <n v="3"/>
    <n v="28283.49"/>
    <x v="300"/>
    <x v="5"/>
    <x v="24"/>
  </r>
  <r>
    <s v="ORD00631"/>
    <x v="19"/>
    <x v="2"/>
    <n v="22564.13"/>
    <n v="1"/>
    <n v="22564.13"/>
    <x v="216"/>
    <x v="2"/>
    <x v="3"/>
  </r>
  <r>
    <s v="ORD00632"/>
    <x v="6"/>
    <x v="1"/>
    <n v="47288.95"/>
    <n v="1"/>
    <n v="47288.95"/>
    <x v="200"/>
    <x v="2"/>
    <x v="4"/>
  </r>
  <r>
    <s v="ORD00633"/>
    <x v="0"/>
    <x v="0"/>
    <n v="24537.79"/>
    <n v="3"/>
    <n v="73613.37"/>
    <x v="39"/>
    <x v="4"/>
    <x v="14"/>
  </r>
  <r>
    <s v="ORD00634"/>
    <x v="3"/>
    <x v="3"/>
    <n v="22226.76"/>
    <n v="5"/>
    <n v="111133.8"/>
    <x v="176"/>
    <x v="0"/>
    <x v="25"/>
  </r>
  <r>
    <s v="ORD00635"/>
    <x v="17"/>
    <x v="2"/>
    <n v="14103.34"/>
    <n v="2"/>
    <n v="28206.68"/>
    <x v="19"/>
    <x v="3"/>
    <x v="14"/>
  </r>
  <r>
    <s v="ORD00636"/>
    <x v="23"/>
    <x v="4"/>
    <n v="19376.32"/>
    <n v="1"/>
    <n v="19376.32"/>
    <x v="91"/>
    <x v="1"/>
    <x v="16"/>
  </r>
  <r>
    <s v="ORD00637"/>
    <x v="0"/>
    <x v="0"/>
    <n v="41619.15"/>
    <n v="1"/>
    <n v="41619.15"/>
    <x v="120"/>
    <x v="0"/>
    <x v="35"/>
  </r>
  <r>
    <s v="ORD00638"/>
    <x v="4"/>
    <x v="4"/>
    <n v="14084.61"/>
    <n v="3"/>
    <n v="42253.83"/>
    <x v="181"/>
    <x v="2"/>
    <x v="35"/>
  </r>
  <r>
    <s v="ORD00639"/>
    <x v="3"/>
    <x v="3"/>
    <n v="25935.66"/>
    <n v="5"/>
    <n v="129678.3"/>
    <x v="97"/>
    <x v="0"/>
    <x v="13"/>
  </r>
  <r>
    <s v="ORD00640"/>
    <x v="3"/>
    <x v="3"/>
    <n v="30657.64"/>
    <n v="5"/>
    <n v="153288.20000000001"/>
    <x v="72"/>
    <x v="5"/>
    <x v="38"/>
  </r>
  <r>
    <s v="ORD00641"/>
    <x v="24"/>
    <x v="1"/>
    <n v="13596.18"/>
    <n v="3"/>
    <n v="40788.54"/>
    <x v="296"/>
    <x v="4"/>
    <x v="36"/>
  </r>
  <r>
    <s v="ORD00642"/>
    <x v="17"/>
    <x v="2"/>
    <n v="28379.75"/>
    <n v="5"/>
    <n v="141898.75"/>
    <x v="74"/>
    <x v="3"/>
    <x v="2"/>
  </r>
  <r>
    <s v="ORD00643"/>
    <x v="24"/>
    <x v="1"/>
    <n v="12422.09"/>
    <n v="2"/>
    <n v="24844.18"/>
    <x v="158"/>
    <x v="3"/>
    <x v="20"/>
  </r>
  <r>
    <s v="ORD00644"/>
    <x v="19"/>
    <x v="2"/>
    <n v="18747.939999999999"/>
    <n v="1"/>
    <n v="18747.939999999999"/>
    <x v="277"/>
    <x v="5"/>
    <x v="21"/>
  </r>
  <r>
    <s v="ORD00645"/>
    <x v="3"/>
    <x v="3"/>
    <n v="35524.559999999998"/>
    <n v="1"/>
    <n v="35524.559999999998"/>
    <x v="301"/>
    <x v="1"/>
    <x v="6"/>
  </r>
  <r>
    <s v="ORD00646"/>
    <x v="15"/>
    <x v="1"/>
    <n v="36454.629999999997"/>
    <n v="1"/>
    <n v="36454.629999999997"/>
    <x v="211"/>
    <x v="1"/>
    <x v="17"/>
  </r>
  <r>
    <s v="ORD00647"/>
    <x v="18"/>
    <x v="3"/>
    <n v="23249.27"/>
    <n v="3"/>
    <n v="69747.81"/>
    <x v="228"/>
    <x v="4"/>
    <x v="21"/>
  </r>
  <r>
    <s v="ORD00648"/>
    <x v="19"/>
    <x v="2"/>
    <n v="48842.53"/>
    <n v="1"/>
    <n v="48842.53"/>
    <x v="241"/>
    <x v="5"/>
    <x v="29"/>
  </r>
  <r>
    <s v="ORD00649"/>
    <x v="9"/>
    <x v="3"/>
    <n v="21881.01"/>
    <n v="1"/>
    <n v="21881.01"/>
    <x v="120"/>
    <x v="2"/>
    <x v="0"/>
  </r>
  <r>
    <s v="ORD00650"/>
    <x v="0"/>
    <x v="0"/>
    <n v="38964.36"/>
    <n v="5"/>
    <n v="194821.8"/>
    <x v="302"/>
    <x v="2"/>
    <x v="1"/>
  </r>
  <r>
    <s v="ORD00651"/>
    <x v="23"/>
    <x v="4"/>
    <n v="1435.38"/>
    <n v="4"/>
    <n v="5741.52"/>
    <x v="63"/>
    <x v="1"/>
    <x v="6"/>
  </r>
  <r>
    <s v="ORD00652"/>
    <x v="18"/>
    <x v="3"/>
    <n v="2536.16"/>
    <n v="5"/>
    <n v="12680.8"/>
    <x v="2"/>
    <x v="3"/>
    <x v="31"/>
  </r>
  <r>
    <s v="ORD00653"/>
    <x v="20"/>
    <x v="3"/>
    <n v="21992.38"/>
    <n v="5"/>
    <n v="109961.9"/>
    <x v="55"/>
    <x v="0"/>
    <x v="1"/>
  </r>
  <r>
    <s v="ORD00654"/>
    <x v="11"/>
    <x v="2"/>
    <n v="20194.2"/>
    <n v="2"/>
    <n v="40388.400000000001"/>
    <x v="152"/>
    <x v="0"/>
    <x v="4"/>
  </r>
  <r>
    <s v="ORD00655"/>
    <x v="8"/>
    <x v="1"/>
    <n v="18789.810000000001"/>
    <n v="3"/>
    <n v="56369.43"/>
    <x v="303"/>
    <x v="0"/>
    <x v="6"/>
  </r>
  <r>
    <s v="ORD00656"/>
    <x v="18"/>
    <x v="3"/>
    <n v="33027.629999999997"/>
    <n v="2"/>
    <n v="66055.259999999995"/>
    <x v="140"/>
    <x v="3"/>
    <x v="39"/>
  </r>
  <r>
    <s v="ORD00657"/>
    <x v="19"/>
    <x v="2"/>
    <n v="44953.24"/>
    <n v="5"/>
    <n v="224766.2"/>
    <x v="251"/>
    <x v="2"/>
    <x v="19"/>
  </r>
  <r>
    <s v="ORD00658"/>
    <x v="8"/>
    <x v="1"/>
    <n v="47047.23"/>
    <n v="5"/>
    <n v="235236.15"/>
    <x v="304"/>
    <x v="2"/>
    <x v="32"/>
  </r>
  <r>
    <s v="ORD00659"/>
    <x v="20"/>
    <x v="3"/>
    <n v="34358.78"/>
    <n v="3"/>
    <n v="103076.34"/>
    <x v="228"/>
    <x v="5"/>
    <x v="7"/>
  </r>
  <r>
    <s v="ORD00660"/>
    <x v="11"/>
    <x v="2"/>
    <n v="12779.59"/>
    <n v="5"/>
    <n v="63897.95"/>
    <x v="21"/>
    <x v="4"/>
    <x v="18"/>
  </r>
  <r>
    <s v="ORD00661"/>
    <x v="14"/>
    <x v="0"/>
    <n v="30878.47"/>
    <n v="5"/>
    <n v="154392.35"/>
    <x v="150"/>
    <x v="1"/>
    <x v="15"/>
  </r>
  <r>
    <s v="ORD00662"/>
    <x v="2"/>
    <x v="2"/>
    <n v="24227.24"/>
    <n v="1"/>
    <n v="24227.24"/>
    <x v="305"/>
    <x v="0"/>
    <x v="29"/>
  </r>
  <r>
    <s v="ORD00663"/>
    <x v="1"/>
    <x v="1"/>
    <n v="15282.31"/>
    <n v="4"/>
    <n v="61129.24"/>
    <x v="110"/>
    <x v="5"/>
    <x v="37"/>
  </r>
  <r>
    <s v="ORD00664"/>
    <x v="11"/>
    <x v="2"/>
    <n v="46933.96"/>
    <n v="1"/>
    <n v="46933.96"/>
    <x v="133"/>
    <x v="0"/>
    <x v="15"/>
  </r>
  <r>
    <s v="ORD00665"/>
    <x v="10"/>
    <x v="2"/>
    <n v="14622.12"/>
    <n v="1"/>
    <n v="14622.12"/>
    <x v="57"/>
    <x v="4"/>
    <x v="35"/>
  </r>
  <r>
    <s v="ORD00666"/>
    <x v="14"/>
    <x v="0"/>
    <n v="34830.28"/>
    <n v="4"/>
    <n v="139321.12"/>
    <x v="171"/>
    <x v="4"/>
    <x v="36"/>
  </r>
  <r>
    <s v="ORD00667"/>
    <x v="10"/>
    <x v="2"/>
    <n v="43118.19"/>
    <n v="5"/>
    <n v="215590.95"/>
    <x v="297"/>
    <x v="5"/>
    <x v="9"/>
  </r>
  <r>
    <s v="ORD00668"/>
    <x v="14"/>
    <x v="0"/>
    <n v="29885.360000000001"/>
    <n v="3"/>
    <n v="89656.08"/>
    <x v="93"/>
    <x v="0"/>
    <x v="27"/>
  </r>
  <r>
    <s v="ORD00669"/>
    <x v="0"/>
    <x v="0"/>
    <n v="7728.33"/>
    <n v="5"/>
    <n v="38641.65"/>
    <x v="78"/>
    <x v="3"/>
    <x v="1"/>
  </r>
  <r>
    <s v="ORD00670"/>
    <x v="4"/>
    <x v="4"/>
    <n v="36096.74"/>
    <n v="5"/>
    <n v="180483.7"/>
    <x v="18"/>
    <x v="5"/>
    <x v="31"/>
  </r>
  <r>
    <s v="ORD00671"/>
    <x v="15"/>
    <x v="1"/>
    <n v="19275.66"/>
    <n v="4"/>
    <n v="77102.64"/>
    <x v="239"/>
    <x v="5"/>
    <x v="31"/>
  </r>
  <r>
    <s v="ORD00672"/>
    <x v="23"/>
    <x v="4"/>
    <n v="15387.59"/>
    <n v="4"/>
    <n v="61550.36"/>
    <x v="289"/>
    <x v="2"/>
    <x v="34"/>
  </r>
  <r>
    <s v="ORD00673"/>
    <x v="12"/>
    <x v="3"/>
    <n v="23806.639999999999"/>
    <n v="1"/>
    <n v="23806.639999999999"/>
    <x v="276"/>
    <x v="0"/>
    <x v="15"/>
  </r>
  <r>
    <s v="ORD00674"/>
    <x v="17"/>
    <x v="2"/>
    <n v="28568.97"/>
    <n v="1"/>
    <n v="28568.97"/>
    <x v="205"/>
    <x v="0"/>
    <x v="34"/>
  </r>
  <r>
    <s v="ORD00675"/>
    <x v="18"/>
    <x v="3"/>
    <n v="40753.519999999997"/>
    <n v="1"/>
    <n v="40753.519999999997"/>
    <x v="305"/>
    <x v="0"/>
    <x v="24"/>
  </r>
  <r>
    <s v="ORD00676"/>
    <x v="9"/>
    <x v="3"/>
    <n v="38571.81"/>
    <n v="4"/>
    <n v="154287.24"/>
    <x v="306"/>
    <x v="3"/>
    <x v="12"/>
  </r>
  <r>
    <s v="ORD00677"/>
    <x v="12"/>
    <x v="3"/>
    <n v="25161.91"/>
    <n v="5"/>
    <n v="125809.55"/>
    <x v="93"/>
    <x v="2"/>
    <x v="20"/>
  </r>
  <r>
    <s v="ORD00678"/>
    <x v="10"/>
    <x v="2"/>
    <n v="12124.19"/>
    <n v="3"/>
    <n v="36372.57"/>
    <x v="126"/>
    <x v="0"/>
    <x v="25"/>
  </r>
  <r>
    <s v="ORD00679"/>
    <x v="0"/>
    <x v="0"/>
    <n v="2013.64"/>
    <n v="3"/>
    <n v="6040.92"/>
    <x v="261"/>
    <x v="1"/>
    <x v="28"/>
  </r>
  <r>
    <s v="ORD00680"/>
    <x v="16"/>
    <x v="4"/>
    <n v="6002.25"/>
    <n v="3"/>
    <n v="18006.75"/>
    <x v="49"/>
    <x v="3"/>
    <x v="0"/>
  </r>
  <r>
    <s v="ORD00681"/>
    <x v="22"/>
    <x v="0"/>
    <n v="31332.42"/>
    <n v="4"/>
    <n v="125329.68"/>
    <x v="307"/>
    <x v="4"/>
    <x v="23"/>
  </r>
  <r>
    <s v="ORD00682"/>
    <x v="16"/>
    <x v="4"/>
    <n v="17539.189999999999"/>
    <n v="1"/>
    <n v="17539.189999999999"/>
    <x v="89"/>
    <x v="2"/>
    <x v="1"/>
  </r>
  <r>
    <s v="ORD00683"/>
    <x v="21"/>
    <x v="0"/>
    <n v="14865.47"/>
    <n v="2"/>
    <n v="29730.94"/>
    <x v="153"/>
    <x v="1"/>
    <x v="14"/>
  </r>
  <r>
    <s v="ORD00684"/>
    <x v="24"/>
    <x v="1"/>
    <n v="48130.6"/>
    <n v="5"/>
    <n v="240653"/>
    <x v="81"/>
    <x v="1"/>
    <x v="9"/>
  </r>
  <r>
    <s v="ORD00685"/>
    <x v="0"/>
    <x v="0"/>
    <n v="8970.27"/>
    <n v="3"/>
    <n v="26910.81"/>
    <x v="211"/>
    <x v="3"/>
    <x v="19"/>
  </r>
  <r>
    <s v="ORD00686"/>
    <x v="20"/>
    <x v="3"/>
    <n v="14359.73"/>
    <n v="2"/>
    <n v="28719.46"/>
    <x v="42"/>
    <x v="1"/>
    <x v="2"/>
  </r>
  <r>
    <s v="ORD00687"/>
    <x v="10"/>
    <x v="2"/>
    <n v="17009.73"/>
    <n v="4"/>
    <n v="68038.92"/>
    <x v="308"/>
    <x v="0"/>
    <x v="13"/>
  </r>
  <r>
    <s v="ORD00688"/>
    <x v="15"/>
    <x v="1"/>
    <n v="10385.24"/>
    <n v="2"/>
    <n v="20770.48"/>
    <x v="15"/>
    <x v="1"/>
    <x v="25"/>
  </r>
  <r>
    <s v="ORD00689"/>
    <x v="9"/>
    <x v="3"/>
    <n v="28261.1"/>
    <n v="2"/>
    <n v="56522.2"/>
    <x v="309"/>
    <x v="2"/>
    <x v="17"/>
  </r>
  <r>
    <s v="ORD00690"/>
    <x v="1"/>
    <x v="1"/>
    <n v="23320.94"/>
    <n v="2"/>
    <n v="46641.88"/>
    <x v="108"/>
    <x v="2"/>
    <x v="3"/>
  </r>
  <r>
    <s v="ORD00691"/>
    <x v="15"/>
    <x v="1"/>
    <n v="16038"/>
    <n v="5"/>
    <n v="80190"/>
    <x v="130"/>
    <x v="4"/>
    <x v="10"/>
  </r>
  <r>
    <s v="ORD00692"/>
    <x v="6"/>
    <x v="1"/>
    <n v="43719.71"/>
    <n v="5"/>
    <n v="218598.55"/>
    <x v="308"/>
    <x v="1"/>
    <x v="20"/>
  </r>
  <r>
    <s v="ORD00693"/>
    <x v="14"/>
    <x v="0"/>
    <n v="19669.48"/>
    <n v="2"/>
    <n v="39338.959999999999"/>
    <x v="288"/>
    <x v="2"/>
    <x v="6"/>
  </r>
  <r>
    <s v="ORD00694"/>
    <x v="11"/>
    <x v="2"/>
    <n v="27396.01"/>
    <n v="1"/>
    <n v="27396.01"/>
    <x v="232"/>
    <x v="3"/>
    <x v="35"/>
  </r>
  <r>
    <s v="ORD00695"/>
    <x v="8"/>
    <x v="1"/>
    <n v="13763.17"/>
    <n v="5"/>
    <n v="68815.850000000006"/>
    <x v="188"/>
    <x v="2"/>
    <x v="22"/>
  </r>
  <r>
    <s v="ORD00696"/>
    <x v="4"/>
    <x v="4"/>
    <n v="6421.63"/>
    <n v="2"/>
    <n v="12843.26"/>
    <x v="139"/>
    <x v="5"/>
    <x v="39"/>
  </r>
  <r>
    <s v="ORD00697"/>
    <x v="22"/>
    <x v="0"/>
    <n v="4617.2"/>
    <n v="4"/>
    <n v="18468.8"/>
    <x v="20"/>
    <x v="1"/>
    <x v="28"/>
  </r>
  <r>
    <s v="ORD00698"/>
    <x v="15"/>
    <x v="1"/>
    <n v="6022.31"/>
    <n v="5"/>
    <n v="30111.55"/>
    <x v="193"/>
    <x v="4"/>
    <x v="0"/>
  </r>
  <r>
    <s v="ORD00699"/>
    <x v="2"/>
    <x v="2"/>
    <n v="38968.519999999997"/>
    <n v="4"/>
    <n v="155874.07999999999"/>
    <x v="177"/>
    <x v="5"/>
    <x v="1"/>
  </r>
  <r>
    <s v="ORD00700"/>
    <x v="18"/>
    <x v="3"/>
    <n v="20435.34"/>
    <n v="5"/>
    <n v="102176.7"/>
    <x v="28"/>
    <x v="4"/>
    <x v="28"/>
  </r>
  <r>
    <s v="ORD00701"/>
    <x v="9"/>
    <x v="3"/>
    <n v="25115.71"/>
    <n v="2"/>
    <n v="50231.42"/>
    <x v="255"/>
    <x v="2"/>
    <x v="15"/>
  </r>
  <r>
    <s v="ORD00702"/>
    <x v="20"/>
    <x v="3"/>
    <n v="36115.480000000003"/>
    <n v="1"/>
    <n v="36115.480000000003"/>
    <x v="10"/>
    <x v="1"/>
    <x v="32"/>
  </r>
  <r>
    <s v="ORD00703"/>
    <x v="7"/>
    <x v="4"/>
    <n v="13372.74"/>
    <n v="2"/>
    <n v="26745.48"/>
    <x v="307"/>
    <x v="2"/>
    <x v="5"/>
  </r>
  <r>
    <s v="ORD00704"/>
    <x v="0"/>
    <x v="0"/>
    <n v="32472.59"/>
    <n v="1"/>
    <n v="32472.59"/>
    <x v="154"/>
    <x v="2"/>
    <x v="34"/>
  </r>
  <r>
    <s v="ORD00705"/>
    <x v="21"/>
    <x v="0"/>
    <n v="12097.46"/>
    <n v="5"/>
    <n v="60487.3"/>
    <x v="310"/>
    <x v="3"/>
    <x v="24"/>
  </r>
  <r>
    <s v="ORD00706"/>
    <x v="14"/>
    <x v="0"/>
    <n v="34446.42"/>
    <n v="3"/>
    <n v="103339.26"/>
    <x v="311"/>
    <x v="1"/>
    <x v="7"/>
  </r>
  <r>
    <s v="ORD00707"/>
    <x v="0"/>
    <x v="0"/>
    <n v="13420.4"/>
    <n v="4"/>
    <n v="53681.599999999999"/>
    <x v="160"/>
    <x v="3"/>
    <x v="25"/>
  </r>
  <r>
    <s v="ORD00708"/>
    <x v="13"/>
    <x v="0"/>
    <n v="20686.939999999999"/>
    <n v="3"/>
    <n v="62060.82"/>
    <x v="160"/>
    <x v="2"/>
    <x v="27"/>
  </r>
  <r>
    <s v="ORD00709"/>
    <x v="20"/>
    <x v="3"/>
    <n v="29418.33"/>
    <n v="2"/>
    <n v="58836.66"/>
    <x v="312"/>
    <x v="3"/>
    <x v="26"/>
  </r>
  <r>
    <s v="ORD00710"/>
    <x v="22"/>
    <x v="0"/>
    <n v="6115.91"/>
    <n v="1"/>
    <n v="6115.91"/>
    <x v="145"/>
    <x v="1"/>
    <x v="39"/>
  </r>
  <r>
    <s v="ORD00711"/>
    <x v="22"/>
    <x v="0"/>
    <n v="33404.120000000003"/>
    <n v="3"/>
    <n v="100212.36"/>
    <x v="121"/>
    <x v="0"/>
    <x v="29"/>
  </r>
  <r>
    <s v="ORD00712"/>
    <x v="1"/>
    <x v="1"/>
    <n v="40046.19"/>
    <n v="2"/>
    <n v="80092.38"/>
    <x v="313"/>
    <x v="1"/>
    <x v="12"/>
  </r>
  <r>
    <s v="ORD00713"/>
    <x v="22"/>
    <x v="0"/>
    <n v="22709.95"/>
    <n v="2"/>
    <n v="45419.9"/>
    <x v="151"/>
    <x v="4"/>
    <x v="9"/>
  </r>
  <r>
    <s v="ORD00714"/>
    <x v="21"/>
    <x v="0"/>
    <n v="22315.58"/>
    <n v="1"/>
    <n v="22315.58"/>
    <x v="307"/>
    <x v="1"/>
    <x v="8"/>
  </r>
  <r>
    <s v="ORD00715"/>
    <x v="1"/>
    <x v="1"/>
    <n v="47608.93"/>
    <n v="1"/>
    <n v="47608.93"/>
    <x v="314"/>
    <x v="1"/>
    <x v="24"/>
  </r>
  <r>
    <s v="ORD00716"/>
    <x v="8"/>
    <x v="1"/>
    <n v="19846.64"/>
    <n v="1"/>
    <n v="19846.64"/>
    <x v="193"/>
    <x v="5"/>
    <x v="26"/>
  </r>
  <r>
    <s v="ORD00717"/>
    <x v="21"/>
    <x v="0"/>
    <n v="5975.89"/>
    <n v="3"/>
    <n v="17927.669999999998"/>
    <x v="186"/>
    <x v="1"/>
    <x v="38"/>
  </r>
  <r>
    <s v="ORD00718"/>
    <x v="21"/>
    <x v="0"/>
    <n v="49409.89"/>
    <n v="4"/>
    <n v="197639.56"/>
    <x v="283"/>
    <x v="5"/>
    <x v="27"/>
  </r>
  <r>
    <s v="ORD00719"/>
    <x v="24"/>
    <x v="1"/>
    <n v="13885.05"/>
    <n v="5"/>
    <n v="69425.25"/>
    <x v="315"/>
    <x v="4"/>
    <x v="0"/>
  </r>
  <r>
    <s v="ORD00720"/>
    <x v="19"/>
    <x v="2"/>
    <n v="4080.78"/>
    <n v="3"/>
    <n v="12242.34"/>
    <x v="61"/>
    <x v="4"/>
    <x v="35"/>
  </r>
  <r>
    <s v="ORD00721"/>
    <x v="20"/>
    <x v="3"/>
    <n v="27306.31"/>
    <n v="3"/>
    <n v="81918.929999999993"/>
    <x v="316"/>
    <x v="4"/>
    <x v="28"/>
  </r>
  <r>
    <s v="ORD00722"/>
    <x v="4"/>
    <x v="4"/>
    <n v="16580.240000000002"/>
    <n v="5"/>
    <n v="82901.2"/>
    <x v="141"/>
    <x v="5"/>
    <x v="33"/>
  </r>
  <r>
    <s v="ORD00723"/>
    <x v="13"/>
    <x v="0"/>
    <n v="12798.83"/>
    <n v="4"/>
    <n v="51195.32"/>
    <x v="317"/>
    <x v="1"/>
    <x v="40"/>
  </r>
  <r>
    <s v="ORD00724"/>
    <x v="0"/>
    <x v="0"/>
    <n v="18574.12"/>
    <n v="1"/>
    <n v="18574.12"/>
    <x v="318"/>
    <x v="2"/>
    <x v="26"/>
  </r>
  <r>
    <s v="ORD00725"/>
    <x v="4"/>
    <x v="4"/>
    <n v="30836.98"/>
    <n v="4"/>
    <n v="123347.92"/>
    <x v="319"/>
    <x v="2"/>
    <x v="19"/>
  </r>
  <r>
    <s v="ORD00726"/>
    <x v="6"/>
    <x v="1"/>
    <n v="48620.13"/>
    <n v="4"/>
    <n v="194480.52"/>
    <x v="24"/>
    <x v="0"/>
    <x v="30"/>
  </r>
  <r>
    <s v="ORD00727"/>
    <x v="14"/>
    <x v="0"/>
    <n v="16390.439999999999"/>
    <n v="2"/>
    <n v="32780.879999999997"/>
    <x v="172"/>
    <x v="4"/>
    <x v="24"/>
  </r>
  <r>
    <s v="ORD00728"/>
    <x v="2"/>
    <x v="2"/>
    <n v="18862.009999999998"/>
    <n v="3"/>
    <n v="56586.03"/>
    <x v="72"/>
    <x v="2"/>
    <x v="32"/>
  </r>
  <r>
    <s v="ORD00729"/>
    <x v="3"/>
    <x v="3"/>
    <n v="11448.28"/>
    <n v="1"/>
    <n v="11448.28"/>
    <x v="95"/>
    <x v="5"/>
    <x v="22"/>
  </r>
  <r>
    <s v="ORD00730"/>
    <x v="17"/>
    <x v="2"/>
    <n v="24384.05"/>
    <n v="2"/>
    <n v="48768.1"/>
    <x v="320"/>
    <x v="0"/>
    <x v="32"/>
  </r>
  <r>
    <s v="ORD00731"/>
    <x v="10"/>
    <x v="2"/>
    <n v="18179.43"/>
    <n v="1"/>
    <n v="18179.43"/>
    <x v="232"/>
    <x v="2"/>
    <x v="17"/>
  </r>
  <r>
    <s v="ORD00732"/>
    <x v="4"/>
    <x v="4"/>
    <n v="22430.51"/>
    <n v="1"/>
    <n v="22430.51"/>
    <x v="118"/>
    <x v="4"/>
    <x v="16"/>
  </r>
  <r>
    <s v="ORD00733"/>
    <x v="23"/>
    <x v="4"/>
    <n v="10241.780000000001"/>
    <n v="2"/>
    <n v="20483.560000000001"/>
    <x v="101"/>
    <x v="2"/>
    <x v="13"/>
  </r>
  <r>
    <s v="ORD00734"/>
    <x v="24"/>
    <x v="1"/>
    <n v="17800.740000000002"/>
    <n v="3"/>
    <n v="53402.22"/>
    <x v="206"/>
    <x v="2"/>
    <x v="36"/>
  </r>
  <r>
    <s v="ORD00735"/>
    <x v="13"/>
    <x v="0"/>
    <n v="16174.96"/>
    <n v="5"/>
    <n v="80874.8"/>
    <x v="218"/>
    <x v="4"/>
    <x v="35"/>
  </r>
  <r>
    <s v="ORD00736"/>
    <x v="4"/>
    <x v="4"/>
    <n v="2370.61"/>
    <n v="5"/>
    <n v="11853.05"/>
    <x v="161"/>
    <x v="0"/>
    <x v="4"/>
  </r>
  <r>
    <s v="ORD00737"/>
    <x v="17"/>
    <x v="2"/>
    <n v="139.85"/>
    <n v="3"/>
    <n v="419.55"/>
    <x v="321"/>
    <x v="1"/>
    <x v="6"/>
  </r>
  <r>
    <s v="ORD00738"/>
    <x v="3"/>
    <x v="3"/>
    <n v="2519.1799999999998"/>
    <n v="1"/>
    <n v="2519.1799999999998"/>
    <x v="322"/>
    <x v="5"/>
    <x v="7"/>
  </r>
  <r>
    <s v="ORD00739"/>
    <x v="17"/>
    <x v="2"/>
    <n v="32626.32"/>
    <n v="4"/>
    <n v="130505.28"/>
    <x v="323"/>
    <x v="1"/>
    <x v="36"/>
  </r>
  <r>
    <s v="ORD00740"/>
    <x v="12"/>
    <x v="3"/>
    <n v="14636.55"/>
    <n v="3"/>
    <n v="43909.65"/>
    <x v="147"/>
    <x v="4"/>
    <x v="22"/>
  </r>
  <r>
    <s v="ORD00741"/>
    <x v="2"/>
    <x v="2"/>
    <n v="19549.439999999999"/>
    <n v="5"/>
    <n v="97747.199999999997"/>
    <x v="287"/>
    <x v="2"/>
    <x v="5"/>
  </r>
  <r>
    <s v="ORD00742"/>
    <x v="20"/>
    <x v="3"/>
    <n v="37195.730000000003"/>
    <n v="2"/>
    <n v="74391.460000000006"/>
    <x v="43"/>
    <x v="1"/>
    <x v="29"/>
  </r>
  <r>
    <s v="ORD00743"/>
    <x v="23"/>
    <x v="4"/>
    <n v="34821.93"/>
    <n v="3"/>
    <n v="104465.79"/>
    <x v="324"/>
    <x v="4"/>
    <x v="2"/>
  </r>
  <r>
    <s v="ORD00744"/>
    <x v="11"/>
    <x v="2"/>
    <n v="28630.92"/>
    <n v="4"/>
    <n v="114523.68"/>
    <x v="7"/>
    <x v="4"/>
    <x v="24"/>
  </r>
  <r>
    <s v="ORD00745"/>
    <x v="15"/>
    <x v="1"/>
    <n v="25059.360000000001"/>
    <n v="5"/>
    <n v="125296.8"/>
    <x v="213"/>
    <x v="1"/>
    <x v="7"/>
  </r>
  <r>
    <s v="ORD00746"/>
    <x v="23"/>
    <x v="4"/>
    <n v="47795.34"/>
    <n v="1"/>
    <n v="47795.34"/>
    <x v="325"/>
    <x v="3"/>
    <x v="10"/>
  </r>
  <r>
    <s v="ORD00747"/>
    <x v="6"/>
    <x v="1"/>
    <n v="36918.199999999997"/>
    <n v="4"/>
    <n v="147672.79999999999"/>
    <x v="223"/>
    <x v="2"/>
    <x v="3"/>
  </r>
  <r>
    <s v="ORD00748"/>
    <x v="11"/>
    <x v="2"/>
    <n v="3394.38"/>
    <n v="3"/>
    <n v="10183.14"/>
    <x v="281"/>
    <x v="1"/>
    <x v="0"/>
  </r>
  <r>
    <s v="ORD00749"/>
    <x v="12"/>
    <x v="3"/>
    <n v="11142.38"/>
    <n v="5"/>
    <n v="55711.9"/>
    <x v="287"/>
    <x v="4"/>
    <x v="26"/>
  </r>
  <r>
    <s v="ORD00750"/>
    <x v="4"/>
    <x v="4"/>
    <n v="18602.849999999999"/>
    <n v="5"/>
    <n v="93014.25"/>
    <x v="257"/>
    <x v="1"/>
    <x v="17"/>
  </r>
  <r>
    <s v="ORD00751"/>
    <x v="8"/>
    <x v="1"/>
    <n v="13557.11"/>
    <n v="5"/>
    <n v="67785.55"/>
    <x v="99"/>
    <x v="5"/>
    <x v="11"/>
  </r>
  <r>
    <s v="ORD00752"/>
    <x v="5"/>
    <x v="4"/>
    <n v="13559.18"/>
    <n v="1"/>
    <n v="13559.18"/>
    <x v="44"/>
    <x v="0"/>
    <x v="34"/>
  </r>
  <r>
    <s v="ORD00753"/>
    <x v="9"/>
    <x v="3"/>
    <n v="41926.03"/>
    <n v="2"/>
    <n v="83852.06"/>
    <x v="178"/>
    <x v="3"/>
    <x v="22"/>
  </r>
  <r>
    <s v="ORD00754"/>
    <x v="11"/>
    <x v="2"/>
    <n v="12930.46"/>
    <n v="4"/>
    <n v="51721.84"/>
    <x v="230"/>
    <x v="5"/>
    <x v="30"/>
  </r>
  <r>
    <s v="ORD00755"/>
    <x v="18"/>
    <x v="3"/>
    <n v="37355.589999999997"/>
    <n v="3"/>
    <n v="112066.77"/>
    <x v="212"/>
    <x v="2"/>
    <x v="5"/>
  </r>
  <r>
    <s v="ORD00756"/>
    <x v="11"/>
    <x v="2"/>
    <n v="18385.32"/>
    <n v="5"/>
    <n v="91926.6"/>
    <x v="174"/>
    <x v="1"/>
    <x v="28"/>
  </r>
  <r>
    <s v="ORD00757"/>
    <x v="14"/>
    <x v="0"/>
    <n v="5299.58"/>
    <n v="4"/>
    <n v="21198.32"/>
    <x v="222"/>
    <x v="0"/>
    <x v="18"/>
  </r>
  <r>
    <s v="ORD00758"/>
    <x v="0"/>
    <x v="0"/>
    <n v="7649.41"/>
    <n v="4"/>
    <n v="30597.64"/>
    <x v="25"/>
    <x v="1"/>
    <x v="14"/>
  </r>
  <r>
    <s v="ORD00759"/>
    <x v="5"/>
    <x v="4"/>
    <n v="36950.980000000003"/>
    <n v="4"/>
    <n v="147803.92000000001"/>
    <x v="98"/>
    <x v="0"/>
    <x v="32"/>
  </r>
  <r>
    <s v="ORD00760"/>
    <x v="13"/>
    <x v="0"/>
    <n v="2136.9899999999998"/>
    <n v="1"/>
    <n v="2136.9899999999998"/>
    <x v="65"/>
    <x v="5"/>
    <x v="21"/>
  </r>
  <r>
    <s v="ORD00761"/>
    <x v="23"/>
    <x v="4"/>
    <n v="19693.93"/>
    <n v="5"/>
    <n v="98469.65"/>
    <x v="10"/>
    <x v="2"/>
    <x v="30"/>
  </r>
  <r>
    <s v="ORD00762"/>
    <x v="23"/>
    <x v="4"/>
    <n v="16179.61"/>
    <n v="2"/>
    <n v="32359.22"/>
    <x v="47"/>
    <x v="0"/>
    <x v="29"/>
  </r>
  <r>
    <s v="ORD00763"/>
    <x v="0"/>
    <x v="0"/>
    <n v="45910.23"/>
    <n v="4"/>
    <n v="183640.92"/>
    <x v="160"/>
    <x v="5"/>
    <x v="14"/>
  </r>
  <r>
    <s v="ORD00764"/>
    <x v="11"/>
    <x v="2"/>
    <n v="6685.9"/>
    <n v="2"/>
    <n v="13371.8"/>
    <x v="124"/>
    <x v="0"/>
    <x v="6"/>
  </r>
  <r>
    <s v="ORD00765"/>
    <x v="22"/>
    <x v="0"/>
    <n v="2258.89"/>
    <n v="3"/>
    <n v="6776.67"/>
    <x v="0"/>
    <x v="2"/>
    <x v="6"/>
  </r>
  <r>
    <s v="ORD00766"/>
    <x v="0"/>
    <x v="0"/>
    <n v="25282.52"/>
    <n v="1"/>
    <n v="25282.52"/>
    <x v="187"/>
    <x v="4"/>
    <x v="16"/>
  </r>
  <r>
    <s v="ORD00767"/>
    <x v="19"/>
    <x v="2"/>
    <n v="11461.72"/>
    <n v="5"/>
    <n v="57308.6"/>
    <x v="317"/>
    <x v="0"/>
    <x v="32"/>
  </r>
  <r>
    <s v="ORD00768"/>
    <x v="19"/>
    <x v="2"/>
    <n v="17915.599999999999"/>
    <n v="4"/>
    <n v="71662.399999999994"/>
    <x v="326"/>
    <x v="1"/>
    <x v="31"/>
  </r>
  <r>
    <s v="ORD00769"/>
    <x v="11"/>
    <x v="2"/>
    <n v="22703.03"/>
    <n v="2"/>
    <n v="45406.06"/>
    <x v="59"/>
    <x v="5"/>
    <x v="40"/>
  </r>
  <r>
    <s v="ORD00770"/>
    <x v="20"/>
    <x v="3"/>
    <n v="42210.82"/>
    <n v="2"/>
    <n v="84421.64"/>
    <x v="63"/>
    <x v="2"/>
    <x v="18"/>
  </r>
  <r>
    <s v="ORD00771"/>
    <x v="23"/>
    <x v="4"/>
    <n v="7355.5"/>
    <n v="3"/>
    <n v="22066.5"/>
    <x v="117"/>
    <x v="5"/>
    <x v="6"/>
  </r>
  <r>
    <s v="ORD00772"/>
    <x v="7"/>
    <x v="4"/>
    <n v="13879"/>
    <n v="1"/>
    <n v="13879"/>
    <x v="240"/>
    <x v="3"/>
    <x v="15"/>
  </r>
  <r>
    <s v="ORD00773"/>
    <x v="23"/>
    <x v="4"/>
    <n v="42604.95"/>
    <n v="5"/>
    <n v="213024.75"/>
    <x v="150"/>
    <x v="5"/>
    <x v="32"/>
  </r>
  <r>
    <s v="ORD00774"/>
    <x v="3"/>
    <x v="3"/>
    <n v="31265.89"/>
    <n v="1"/>
    <n v="31265.89"/>
    <x v="271"/>
    <x v="1"/>
    <x v="35"/>
  </r>
  <r>
    <s v="ORD00775"/>
    <x v="24"/>
    <x v="1"/>
    <n v="20020.830000000002"/>
    <n v="5"/>
    <n v="100104.15"/>
    <x v="186"/>
    <x v="4"/>
    <x v="31"/>
  </r>
  <r>
    <s v="ORD00776"/>
    <x v="14"/>
    <x v="0"/>
    <n v="24680.19"/>
    <n v="3"/>
    <n v="74040.570000000007"/>
    <x v="310"/>
    <x v="3"/>
    <x v="0"/>
  </r>
  <r>
    <s v="ORD00777"/>
    <x v="11"/>
    <x v="2"/>
    <n v="22254.17"/>
    <n v="4"/>
    <n v="89016.68"/>
    <x v="27"/>
    <x v="0"/>
    <x v="28"/>
  </r>
  <r>
    <s v="ORD00778"/>
    <x v="21"/>
    <x v="0"/>
    <n v="4226.03"/>
    <n v="1"/>
    <n v="4226.03"/>
    <x v="65"/>
    <x v="0"/>
    <x v="18"/>
  </r>
  <r>
    <s v="ORD00779"/>
    <x v="16"/>
    <x v="4"/>
    <n v="46315.8"/>
    <n v="3"/>
    <n v="138947.4"/>
    <x v="267"/>
    <x v="2"/>
    <x v="7"/>
  </r>
  <r>
    <s v="ORD00780"/>
    <x v="3"/>
    <x v="3"/>
    <n v="1320.32"/>
    <n v="3"/>
    <n v="3960.96"/>
    <x v="219"/>
    <x v="2"/>
    <x v="6"/>
  </r>
  <r>
    <s v="ORD00781"/>
    <x v="14"/>
    <x v="0"/>
    <n v="9772.82"/>
    <n v="4"/>
    <n v="39091.279999999999"/>
    <x v="177"/>
    <x v="1"/>
    <x v="4"/>
  </r>
  <r>
    <s v="ORD00782"/>
    <x v="13"/>
    <x v="0"/>
    <n v="47666.18"/>
    <n v="1"/>
    <n v="47666.18"/>
    <x v="36"/>
    <x v="1"/>
    <x v="10"/>
  </r>
  <r>
    <s v="ORD00783"/>
    <x v="1"/>
    <x v="1"/>
    <n v="7673.62"/>
    <n v="2"/>
    <n v="15347.24"/>
    <x v="54"/>
    <x v="3"/>
    <x v="33"/>
  </r>
  <r>
    <s v="ORD00784"/>
    <x v="23"/>
    <x v="4"/>
    <n v="41671.06"/>
    <n v="2"/>
    <n v="83342.12"/>
    <x v="178"/>
    <x v="1"/>
    <x v="10"/>
  </r>
  <r>
    <s v="ORD00785"/>
    <x v="7"/>
    <x v="4"/>
    <n v="15793.43"/>
    <n v="5"/>
    <n v="78967.149999999994"/>
    <x v="91"/>
    <x v="5"/>
    <x v="11"/>
  </r>
  <r>
    <s v="ORD00786"/>
    <x v="11"/>
    <x v="2"/>
    <n v="6767.81"/>
    <n v="1"/>
    <n v="6767.81"/>
    <x v="4"/>
    <x v="3"/>
    <x v="37"/>
  </r>
  <r>
    <s v="ORD00787"/>
    <x v="11"/>
    <x v="2"/>
    <n v="1011.22"/>
    <n v="5"/>
    <n v="5056.1000000000004"/>
    <x v="206"/>
    <x v="5"/>
    <x v="25"/>
  </r>
  <r>
    <s v="ORD00788"/>
    <x v="20"/>
    <x v="3"/>
    <n v="13371.25"/>
    <n v="4"/>
    <n v="53485"/>
    <x v="64"/>
    <x v="4"/>
    <x v="14"/>
  </r>
  <r>
    <s v="ORD00789"/>
    <x v="1"/>
    <x v="1"/>
    <n v="28972.11"/>
    <n v="2"/>
    <n v="57944.22"/>
    <x v="327"/>
    <x v="4"/>
    <x v="37"/>
  </r>
  <r>
    <s v="ORD00790"/>
    <x v="10"/>
    <x v="2"/>
    <n v="17212.34"/>
    <n v="1"/>
    <n v="17212.34"/>
    <x v="204"/>
    <x v="3"/>
    <x v="0"/>
  </r>
  <r>
    <s v="ORD00791"/>
    <x v="0"/>
    <x v="0"/>
    <n v="48742"/>
    <n v="1"/>
    <n v="48742"/>
    <x v="266"/>
    <x v="1"/>
    <x v="19"/>
  </r>
  <r>
    <s v="ORD00792"/>
    <x v="12"/>
    <x v="3"/>
    <n v="19117.36"/>
    <n v="3"/>
    <n v="57352.08"/>
    <x v="9"/>
    <x v="3"/>
    <x v="14"/>
  </r>
  <r>
    <s v="ORD00793"/>
    <x v="9"/>
    <x v="3"/>
    <n v="847.39"/>
    <n v="5"/>
    <n v="4236.95"/>
    <x v="274"/>
    <x v="5"/>
    <x v="9"/>
  </r>
  <r>
    <s v="ORD00794"/>
    <x v="5"/>
    <x v="4"/>
    <n v="14796.32"/>
    <n v="2"/>
    <n v="29592.639999999999"/>
    <x v="132"/>
    <x v="2"/>
    <x v="12"/>
  </r>
  <r>
    <s v="ORD00795"/>
    <x v="2"/>
    <x v="2"/>
    <n v="5238.33"/>
    <n v="3"/>
    <n v="15714.99"/>
    <x v="151"/>
    <x v="2"/>
    <x v="14"/>
  </r>
  <r>
    <s v="ORD00796"/>
    <x v="5"/>
    <x v="4"/>
    <n v="31430.94"/>
    <n v="5"/>
    <n v="157154.70000000001"/>
    <x v="155"/>
    <x v="0"/>
    <x v="33"/>
  </r>
  <r>
    <s v="ORD00797"/>
    <x v="1"/>
    <x v="1"/>
    <n v="27532.48"/>
    <n v="4"/>
    <n v="110129.92"/>
    <x v="328"/>
    <x v="1"/>
    <x v="21"/>
  </r>
  <r>
    <s v="ORD00798"/>
    <x v="1"/>
    <x v="1"/>
    <n v="41121.949999999997"/>
    <n v="3"/>
    <n v="123365.85"/>
    <x v="124"/>
    <x v="3"/>
    <x v="23"/>
  </r>
  <r>
    <s v="ORD00799"/>
    <x v="18"/>
    <x v="3"/>
    <n v="12944.89"/>
    <n v="2"/>
    <n v="25889.78"/>
    <x v="262"/>
    <x v="3"/>
    <x v="30"/>
  </r>
  <r>
    <s v="ORD00800"/>
    <x v="15"/>
    <x v="1"/>
    <n v="4729.04"/>
    <n v="5"/>
    <n v="23645.200000000001"/>
    <x v="168"/>
    <x v="3"/>
    <x v="9"/>
  </r>
  <r>
    <s v="ORD00801"/>
    <x v="11"/>
    <x v="2"/>
    <n v="31512.97"/>
    <n v="2"/>
    <n v="63025.94"/>
    <x v="1"/>
    <x v="3"/>
    <x v="37"/>
  </r>
  <r>
    <s v="ORD00802"/>
    <x v="3"/>
    <x v="3"/>
    <n v="46891.65"/>
    <n v="3"/>
    <n v="140674.95000000001"/>
    <x v="3"/>
    <x v="5"/>
    <x v="36"/>
  </r>
  <r>
    <s v="ORD00803"/>
    <x v="24"/>
    <x v="1"/>
    <n v="34137.79"/>
    <n v="2"/>
    <n v="68275.58"/>
    <x v="289"/>
    <x v="5"/>
    <x v="31"/>
  </r>
  <r>
    <s v="ORD00804"/>
    <x v="7"/>
    <x v="4"/>
    <n v="41000.910000000003"/>
    <n v="4"/>
    <n v="164003.64000000001"/>
    <x v="96"/>
    <x v="1"/>
    <x v="16"/>
  </r>
  <r>
    <s v="ORD00805"/>
    <x v="18"/>
    <x v="3"/>
    <n v="7672.34"/>
    <n v="4"/>
    <n v="30689.360000000001"/>
    <x v="262"/>
    <x v="1"/>
    <x v="19"/>
  </r>
  <r>
    <s v="ORD00806"/>
    <x v="0"/>
    <x v="0"/>
    <n v="25186.79"/>
    <n v="3"/>
    <n v="75560.37"/>
    <x v="259"/>
    <x v="3"/>
    <x v="28"/>
  </r>
  <r>
    <s v="ORD00807"/>
    <x v="19"/>
    <x v="2"/>
    <n v="41285.25"/>
    <n v="1"/>
    <n v="41285.25"/>
    <x v="329"/>
    <x v="3"/>
    <x v="31"/>
  </r>
  <r>
    <s v="ORD00808"/>
    <x v="19"/>
    <x v="2"/>
    <n v="30435.75"/>
    <n v="2"/>
    <n v="60871.5"/>
    <x v="328"/>
    <x v="4"/>
    <x v="4"/>
  </r>
  <r>
    <s v="ORD00809"/>
    <x v="18"/>
    <x v="3"/>
    <n v="45786.559999999998"/>
    <n v="5"/>
    <n v="228932.8"/>
    <x v="58"/>
    <x v="2"/>
    <x v="23"/>
  </r>
  <r>
    <s v="ORD00810"/>
    <x v="21"/>
    <x v="0"/>
    <n v="26700.19"/>
    <n v="3"/>
    <n v="80100.570000000007"/>
    <x v="192"/>
    <x v="3"/>
    <x v="39"/>
  </r>
  <r>
    <s v="ORD00811"/>
    <x v="6"/>
    <x v="1"/>
    <n v="27367.02"/>
    <n v="3"/>
    <n v="82101.06"/>
    <x v="242"/>
    <x v="2"/>
    <x v="23"/>
  </r>
  <r>
    <s v="ORD00812"/>
    <x v="9"/>
    <x v="3"/>
    <n v="17213.3"/>
    <n v="3"/>
    <n v="51639.9"/>
    <x v="104"/>
    <x v="5"/>
    <x v="5"/>
  </r>
  <r>
    <s v="ORD00813"/>
    <x v="5"/>
    <x v="4"/>
    <n v="4084.62"/>
    <n v="5"/>
    <n v="20423.099999999999"/>
    <x v="60"/>
    <x v="1"/>
    <x v="17"/>
  </r>
  <r>
    <s v="ORD00814"/>
    <x v="7"/>
    <x v="4"/>
    <n v="9213.5499999999993"/>
    <n v="4"/>
    <n v="36854.199999999997"/>
    <x v="245"/>
    <x v="3"/>
    <x v="15"/>
  </r>
  <r>
    <s v="ORD00815"/>
    <x v="15"/>
    <x v="1"/>
    <n v="6114.55"/>
    <n v="4"/>
    <n v="24458.2"/>
    <x v="222"/>
    <x v="0"/>
    <x v="13"/>
  </r>
  <r>
    <s v="ORD00816"/>
    <x v="13"/>
    <x v="0"/>
    <n v="21670.52"/>
    <n v="4"/>
    <n v="86682.08"/>
    <x v="328"/>
    <x v="3"/>
    <x v="33"/>
  </r>
  <r>
    <s v="ORD00817"/>
    <x v="2"/>
    <x v="2"/>
    <n v="37528.53"/>
    <n v="4"/>
    <n v="150114.12"/>
    <x v="282"/>
    <x v="1"/>
    <x v="14"/>
  </r>
  <r>
    <s v="ORD00818"/>
    <x v="12"/>
    <x v="3"/>
    <n v="46526.93"/>
    <n v="5"/>
    <n v="232634.65"/>
    <x v="130"/>
    <x v="5"/>
    <x v="21"/>
  </r>
  <r>
    <s v="ORD00819"/>
    <x v="22"/>
    <x v="0"/>
    <n v="4042.56"/>
    <n v="2"/>
    <n v="8085.12"/>
    <x v="8"/>
    <x v="0"/>
    <x v="13"/>
  </r>
  <r>
    <s v="ORD00820"/>
    <x v="4"/>
    <x v="4"/>
    <n v="35777.51"/>
    <n v="1"/>
    <n v="35777.51"/>
    <x v="97"/>
    <x v="5"/>
    <x v="3"/>
  </r>
  <r>
    <s v="ORD00821"/>
    <x v="16"/>
    <x v="4"/>
    <n v="4160.5200000000004"/>
    <n v="2"/>
    <n v="8321.0400000000009"/>
    <x v="87"/>
    <x v="5"/>
    <x v="28"/>
  </r>
  <r>
    <s v="ORD00822"/>
    <x v="18"/>
    <x v="3"/>
    <n v="20754.919999999998"/>
    <n v="3"/>
    <n v="62264.76"/>
    <x v="109"/>
    <x v="0"/>
    <x v="30"/>
  </r>
  <r>
    <s v="ORD00823"/>
    <x v="13"/>
    <x v="0"/>
    <n v="34460.43"/>
    <n v="2"/>
    <n v="68920.86"/>
    <x v="142"/>
    <x v="3"/>
    <x v="33"/>
  </r>
  <r>
    <s v="ORD00824"/>
    <x v="7"/>
    <x v="4"/>
    <n v="22835.78"/>
    <n v="5"/>
    <n v="114178.9"/>
    <x v="259"/>
    <x v="2"/>
    <x v="27"/>
  </r>
  <r>
    <s v="ORD00825"/>
    <x v="19"/>
    <x v="2"/>
    <n v="5361.18"/>
    <n v="2"/>
    <n v="10722.36"/>
    <x v="152"/>
    <x v="5"/>
    <x v="32"/>
  </r>
  <r>
    <s v="ORD00826"/>
    <x v="8"/>
    <x v="1"/>
    <n v="41996.61"/>
    <n v="2"/>
    <n v="83993.22"/>
    <x v="330"/>
    <x v="3"/>
    <x v="37"/>
  </r>
  <r>
    <s v="ORD00827"/>
    <x v="10"/>
    <x v="2"/>
    <n v="43606.83"/>
    <n v="4"/>
    <n v="174427.32"/>
    <x v="131"/>
    <x v="0"/>
    <x v="22"/>
  </r>
  <r>
    <s v="ORD00828"/>
    <x v="3"/>
    <x v="3"/>
    <n v="14290.07"/>
    <n v="5"/>
    <n v="71450.350000000006"/>
    <x v="191"/>
    <x v="0"/>
    <x v="10"/>
  </r>
  <r>
    <s v="ORD00829"/>
    <x v="18"/>
    <x v="3"/>
    <n v="32760.67"/>
    <n v="3"/>
    <n v="98282.01"/>
    <x v="281"/>
    <x v="5"/>
    <x v="34"/>
  </r>
  <r>
    <s v="ORD00830"/>
    <x v="13"/>
    <x v="0"/>
    <n v="26403.73"/>
    <n v="1"/>
    <n v="26403.73"/>
    <x v="3"/>
    <x v="0"/>
    <x v="26"/>
  </r>
  <r>
    <s v="ORD00831"/>
    <x v="17"/>
    <x v="2"/>
    <n v="34069.64"/>
    <n v="1"/>
    <n v="34069.64"/>
    <x v="159"/>
    <x v="2"/>
    <x v="32"/>
  </r>
  <r>
    <s v="ORD00832"/>
    <x v="7"/>
    <x v="4"/>
    <n v="47284.54"/>
    <n v="5"/>
    <n v="236422.7"/>
    <x v="305"/>
    <x v="5"/>
    <x v="7"/>
  </r>
  <r>
    <s v="ORD00833"/>
    <x v="3"/>
    <x v="3"/>
    <n v="28678.880000000001"/>
    <n v="4"/>
    <n v="114715.52"/>
    <x v="28"/>
    <x v="5"/>
    <x v="13"/>
  </r>
  <r>
    <s v="ORD00834"/>
    <x v="2"/>
    <x v="2"/>
    <n v="44918.35"/>
    <n v="5"/>
    <n v="224591.75"/>
    <x v="22"/>
    <x v="2"/>
    <x v="2"/>
  </r>
  <r>
    <s v="ORD00835"/>
    <x v="17"/>
    <x v="2"/>
    <n v="31727.37"/>
    <n v="1"/>
    <n v="31727.37"/>
    <x v="47"/>
    <x v="0"/>
    <x v="5"/>
  </r>
  <r>
    <s v="ORD00836"/>
    <x v="16"/>
    <x v="4"/>
    <n v="10766.58"/>
    <n v="3"/>
    <n v="32299.74"/>
    <x v="158"/>
    <x v="4"/>
    <x v="24"/>
  </r>
  <r>
    <s v="ORD00837"/>
    <x v="11"/>
    <x v="2"/>
    <n v="25288.2"/>
    <n v="4"/>
    <n v="101152.8"/>
    <x v="331"/>
    <x v="0"/>
    <x v="38"/>
  </r>
  <r>
    <s v="ORD00838"/>
    <x v="18"/>
    <x v="3"/>
    <n v="35506.5"/>
    <n v="5"/>
    <n v="177532.5"/>
    <x v="235"/>
    <x v="1"/>
    <x v="16"/>
  </r>
  <r>
    <s v="ORD00839"/>
    <x v="21"/>
    <x v="0"/>
    <n v="7682.98"/>
    <n v="4"/>
    <n v="30731.919999999998"/>
    <x v="331"/>
    <x v="3"/>
    <x v="38"/>
  </r>
  <r>
    <s v="ORD00840"/>
    <x v="12"/>
    <x v="3"/>
    <n v="32664.01"/>
    <n v="2"/>
    <n v="65328.02"/>
    <x v="15"/>
    <x v="5"/>
    <x v="15"/>
  </r>
  <r>
    <s v="ORD00841"/>
    <x v="7"/>
    <x v="4"/>
    <n v="14359.56"/>
    <n v="3"/>
    <n v="43078.68"/>
    <x v="17"/>
    <x v="0"/>
    <x v="10"/>
  </r>
  <r>
    <s v="ORD00842"/>
    <x v="6"/>
    <x v="1"/>
    <n v="3632.93"/>
    <n v="5"/>
    <n v="18164.650000000001"/>
    <x v="23"/>
    <x v="4"/>
    <x v="37"/>
  </r>
  <r>
    <s v="ORD00843"/>
    <x v="5"/>
    <x v="4"/>
    <n v="30519.71"/>
    <n v="1"/>
    <n v="30519.71"/>
    <x v="66"/>
    <x v="5"/>
    <x v="3"/>
  </r>
  <r>
    <s v="ORD00844"/>
    <x v="23"/>
    <x v="4"/>
    <n v="999.54"/>
    <n v="3"/>
    <n v="2998.62"/>
    <x v="332"/>
    <x v="0"/>
    <x v="3"/>
  </r>
  <r>
    <s v="ORD00845"/>
    <x v="5"/>
    <x v="4"/>
    <n v="15481.49"/>
    <n v="3"/>
    <n v="46444.47"/>
    <x v="167"/>
    <x v="2"/>
    <x v="37"/>
  </r>
  <r>
    <s v="ORD00846"/>
    <x v="7"/>
    <x v="4"/>
    <n v="33814.720000000001"/>
    <n v="2"/>
    <n v="67629.440000000002"/>
    <x v="39"/>
    <x v="5"/>
    <x v="11"/>
  </r>
  <r>
    <s v="ORD00847"/>
    <x v="7"/>
    <x v="4"/>
    <n v="13559.39"/>
    <n v="3"/>
    <n v="40678.17"/>
    <x v="181"/>
    <x v="5"/>
    <x v="22"/>
  </r>
  <r>
    <s v="ORD00848"/>
    <x v="15"/>
    <x v="1"/>
    <n v="18461.509999999998"/>
    <n v="3"/>
    <n v="55384.53"/>
    <x v="321"/>
    <x v="3"/>
    <x v="2"/>
  </r>
  <r>
    <s v="ORD00849"/>
    <x v="12"/>
    <x v="3"/>
    <n v="22868.39"/>
    <n v="4"/>
    <n v="91473.56"/>
    <x v="133"/>
    <x v="0"/>
    <x v="11"/>
  </r>
  <r>
    <s v="ORD00850"/>
    <x v="23"/>
    <x v="4"/>
    <n v="17795.7"/>
    <n v="2"/>
    <n v="35591.4"/>
    <x v="176"/>
    <x v="3"/>
    <x v="24"/>
  </r>
  <r>
    <s v="ORD00851"/>
    <x v="10"/>
    <x v="2"/>
    <n v="20095.189999999999"/>
    <n v="4"/>
    <n v="80380.759999999995"/>
    <x v="333"/>
    <x v="4"/>
    <x v="29"/>
  </r>
  <r>
    <s v="ORD00852"/>
    <x v="4"/>
    <x v="4"/>
    <n v="13998.81"/>
    <n v="2"/>
    <n v="27997.62"/>
    <x v="196"/>
    <x v="5"/>
    <x v="29"/>
  </r>
  <r>
    <s v="ORD00853"/>
    <x v="5"/>
    <x v="4"/>
    <n v="787.27"/>
    <n v="3"/>
    <n v="2361.81"/>
    <x v="164"/>
    <x v="1"/>
    <x v="37"/>
  </r>
  <r>
    <s v="ORD00854"/>
    <x v="18"/>
    <x v="3"/>
    <n v="47363.199999999997"/>
    <n v="3"/>
    <n v="142089.60000000001"/>
    <x v="308"/>
    <x v="4"/>
    <x v="26"/>
  </r>
  <r>
    <s v="ORD00855"/>
    <x v="6"/>
    <x v="1"/>
    <n v="9655.0300000000007"/>
    <n v="4"/>
    <n v="38620.120000000003"/>
    <x v="275"/>
    <x v="4"/>
    <x v="39"/>
  </r>
  <r>
    <s v="ORD00856"/>
    <x v="4"/>
    <x v="4"/>
    <n v="24151.49"/>
    <n v="1"/>
    <n v="24151.49"/>
    <x v="107"/>
    <x v="1"/>
    <x v="38"/>
  </r>
  <r>
    <s v="ORD00857"/>
    <x v="13"/>
    <x v="0"/>
    <n v="3697.32"/>
    <n v="4"/>
    <n v="14789.28"/>
    <x v="311"/>
    <x v="1"/>
    <x v="11"/>
  </r>
  <r>
    <s v="ORD00858"/>
    <x v="0"/>
    <x v="0"/>
    <n v="43840.04"/>
    <n v="5"/>
    <n v="219200.2"/>
    <x v="191"/>
    <x v="4"/>
    <x v="32"/>
  </r>
  <r>
    <s v="ORD00859"/>
    <x v="23"/>
    <x v="4"/>
    <n v="6494.62"/>
    <n v="5"/>
    <n v="32473.1"/>
    <x v="146"/>
    <x v="1"/>
    <x v="8"/>
  </r>
  <r>
    <s v="ORD00860"/>
    <x v="0"/>
    <x v="0"/>
    <n v="7761.67"/>
    <n v="1"/>
    <n v="7761.67"/>
    <x v="115"/>
    <x v="1"/>
    <x v="38"/>
  </r>
  <r>
    <s v="ORD00861"/>
    <x v="17"/>
    <x v="2"/>
    <n v="43300.52"/>
    <n v="4"/>
    <n v="173202.08"/>
    <x v="334"/>
    <x v="3"/>
    <x v="19"/>
  </r>
  <r>
    <s v="ORD00862"/>
    <x v="23"/>
    <x v="4"/>
    <n v="36583.040000000001"/>
    <n v="4"/>
    <n v="146332.16"/>
    <x v="335"/>
    <x v="3"/>
    <x v="6"/>
  </r>
  <r>
    <s v="ORD00863"/>
    <x v="3"/>
    <x v="3"/>
    <n v="43298.080000000002"/>
    <n v="3"/>
    <n v="129894.24"/>
    <x v="55"/>
    <x v="1"/>
    <x v="14"/>
  </r>
  <r>
    <s v="ORD00864"/>
    <x v="22"/>
    <x v="0"/>
    <n v="47427.3"/>
    <n v="5"/>
    <n v="237136.5"/>
    <x v="336"/>
    <x v="2"/>
    <x v="9"/>
  </r>
  <r>
    <s v="ORD00865"/>
    <x v="12"/>
    <x v="3"/>
    <n v="32950.949999999997"/>
    <n v="5"/>
    <n v="164754.75"/>
    <x v="320"/>
    <x v="5"/>
    <x v="21"/>
  </r>
  <r>
    <s v="ORD00866"/>
    <x v="2"/>
    <x v="2"/>
    <n v="14064.35"/>
    <n v="2"/>
    <n v="28128.7"/>
    <x v="249"/>
    <x v="5"/>
    <x v="36"/>
  </r>
  <r>
    <s v="ORD00867"/>
    <x v="11"/>
    <x v="2"/>
    <n v="49911.75"/>
    <n v="3"/>
    <n v="149735.25"/>
    <x v="2"/>
    <x v="2"/>
    <x v="4"/>
  </r>
  <r>
    <s v="ORD00868"/>
    <x v="20"/>
    <x v="3"/>
    <n v="40986.82"/>
    <n v="3"/>
    <n v="122960.46"/>
    <x v="18"/>
    <x v="3"/>
    <x v="0"/>
  </r>
  <r>
    <s v="ORD00869"/>
    <x v="23"/>
    <x v="4"/>
    <n v="32863.879999999997"/>
    <n v="4"/>
    <n v="131455.51999999999"/>
    <x v="233"/>
    <x v="2"/>
    <x v="35"/>
  </r>
  <r>
    <s v="ORD00870"/>
    <x v="10"/>
    <x v="2"/>
    <n v="37424.589999999997"/>
    <n v="4"/>
    <n v="149698.35999999999"/>
    <x v="327"/>
    <x v="5"/>
    <x v="12"/>
  </r>
  <r>
    <s v="ORD00871"/>
    <x v="7"/>
    <x v="4"/>
    <n v="36930.76"/>
    <n v="2"/>
    <n v="73861.52"/>
    <x v="174"/>
    <x v="0"/>
    <x v="30"/>
  </r>
  <r>
    <s v="ORD00872"/>
    <x v="14"/>
    <x v="0"/>
    <n v="40379.730000000003"/>
    <n v="1"/>
    <n v="40379.730000000003"/>
    <x v="155"/>
    <x v="3"/>
    <x v="28"/>
  </r>
  <r>
    <s v="ORD00873"/>
    <x v="15"/>
    <x v="1"/>
    <n v="16938.75"/>
    <n v="5"/>
    <n v="84693.75"/>
    <x v="337"/>
    <x v="0"/>
    <x v="3"/>
  </r>
  <r>
    <s v="ORD00874"/>
    <x v="24"/>
    <x v="1"/>
    <n v="2415.3200000000002"/>
    <n v="5"/>
    <n v="12076.6"/>
    <x v="79"/>
    <x v="3"/>
    <x v="3"/>
  </r>
  <r>
    <s v="ORD00875"/>
    <x v="17"/>
    <x v="2"/>
    <n v="49127.14"/>
    <n v="3"/>
    <n v="147381.42000000001"/>
    <x v="140"/>
    <x v="1"/>
    <x v="34"/>
  </r>
  <r>
    <s v="ORD00876"/>
    <x v="8"/>
    <x v="1"/>
    <n v="1416.84"/>
    <n v="3"/>
    <n v="4250.5200000000004"/>
    <x v="338"/>
    <x v="5"/>
    <x v="31"/>
  </r>
  <r>
    <s v="ORD00877"/>
    <x v="17"/>
    <x v="2"/>
    <n v="21112.13"/>
    <n v="3"/>
    <n v="63336.39"/>
    <x v="339"/>
    <x v="1"/>
    <x v="30"/>
  </r>
  <r>
    <s v="ORD00878"/>
    <x v="11"/>
    <x v="2"/>
    <n v="13061.91"/>
    <n v="5"/>
    <n v="65309.55"/>
    <x v="151"/>
    <x v="0"/>
    <x v="30"/>
  </r>
  <r>
    <s v="ORD00879"/>
    <x v="22"/>
    <x v="0"/>
    <n v="7465.89"/>
    <n v="5"/>
    <n v="37329.449999999997"/>
    <x v="179"/>
    <x v="0"/>
    <x v="2"/>
  </r>
  <r>
    <s v="ORD00880"/>
    <x v="21"/>
    <x v="0"/>
    <n v="38005.050000000003"/>
    <n v="1"/>
    <n v="38005.050000000003"/>
    <x v="116"/>
    <x v="1"/>
    <x v="9"/>
  </r>
  <r>
    <s v="ORD00881"/>
    <x v="15"/>
    <x v="1"/>
    <n v="42307.18"/>
    <n v="5"/>
    <n v="211535.9"/>
    <x v="121"/>
    <x v="3"/>
    <x v="27"/>
  </r>
  <r>
    <s v="ORD00882"/>
    <x v="5"/>
    <x v="4"/>
    <n v="28727.4"/>
    <n v="3"/>
    <n v="86182.2"/>
    <x v="188"/>
    <x v="3"/>
    <x v="25"/>
  </r>
  <r>
    <s v="ORD00883"/>
    <x v="17"/>
    <x v="2"/>
    <n v="8465.2800000000007"/>
    <n v="3"/>
    <n v="25395.84"/>
    <x v="191"/>
    <x v="4"/>
    <x v="31"/>
  </r>
  <r>
    <s v="ORD00884"/>
    <x v="14"/>
    <x v="0"/>
    <n v="17194.75"/>
    <n v="3"/>
    <n v="51584.25"/>
    <x v="174"/>
    <x v="2"/>
    <x v="30"/>
  </r>
  <r>
    <s v="ORD00885"/>
    <x v="6"/>
    <x v="1"/>
    <n v="26550.66"/>
    <n v="4"/>
    <n v="106202.64"/>
    <x v="231"/>
    <x v="3"/>
    <x v="26"/>
  </r>
  <r>
    <s v="ORD00886"/>
    <x v="0"/>
    <x v="0"/>
    <n v="24335.78"/>
    <n v="4"/>
    <n v="97343.12"/>
    <x v="328"/>
    <x v="1"/>
    <x v="4"/>
  </r>
  <r>
    <s v="ORD00887"/>
    <x v="23"/>
    <x v="4"/>
    <n v="17308.52"/>
    <n v="1"/>
    <n v="17308.52"/>
    <x v="302"/>
    <x v="5"/>
    <x v="21"/>
  </r>
  <r>
    <s v="ORD00888"/>
    <x v="18"/>
    <x v="3"/>
    <n v="18097.79"/>
    <n v="1"/>
    <n v="18097.79"/>
    <x v="188"/>
    <x v="5"/>
    <x v="28"/>
  </r>
  <r>
    <s v="ORD00889"/>
    <x v="14"/>
    <x v="0"/>
    <n v="45792.57"/>
    <n v="2"/>
    <n v="91585.14"/>
    <x v="32"/>
    <x v="4"/>
    <x v="4"/>
  </r>
  <r>
    <s v="ORD00890"/>
    <x v="17"/>
    <x v="2"/>
    <n v="35879.79"/>
    <n v="4"/>
    <n v="143519.16"/>
    <x v="276"/>
    <x v="1"/>
    <x v="2"/>
  </r>
  <r>
    <s v="ORD00891"/>
    <x v="4"/>
    <x v="4"/>
    <n v="16158.74"/>
    <n v="3"/>
    <n v="48476.22"/>
    <x v="23"/>
    <x v="3"/>
    <x v="24"/>
  </r>
  <r>
    <s v="ORD00892"/>
    <x v="1"/>
    <x v="1"/>
    <n v="15387.4"/>
    <n v="1"/>
    <n v="15387.4"/>
    <x v="189"/>
    <x v="1"/>
    <x v="24"/>
  </r>
  <r>
    <s v="ORD00893"/>
    <x v="21"/>
    <x v="0"/>
    <n v="11134.83"/>
    <n v="5"/>
    <n v="55674.15"/>
    <x v="39"/>
    <x v="5"/>
    <x v="3"/>
  </r>
  <r>
    <s v="ORD00894"/>
    <x v="2"/>
    <x v="2"/>
    <n v="49835.85"/>
    <n v="3"/>
    <n v="149507.54999999999"/>
    <x v="156"/>
    <x v="4"/>
    <x v="16"/>
  </r>
  <r>
    <s v="ORD00895"/>
    <x v="9"/>
    <x v="3"/>
    <n v="1002.29"/>
    <n v="1"/>
    <n v="1002.29"/>
    <x v="219"/>
    <x v="1"/>
    <x v="23"/>
  </r>
  <r>
    <s v="ORD00896"/>
    <x v="20"/>
    <x v="3"/>
    <n v="26448.240000000002"/>
    <n v="4"/>
    <n v="105792.96000000001"/>
    <x v="298"/>
    <x v="5"/>
    <x v="12"/>
  </r>
  <r>
    <s v="ORD00897"/>
    <x v="11"/>
    <x v="2"/>
    <n v="30650.46"/>
    <n v="5"/>
    <n v="153252.29999999999"/>
    <x v="0"/>
    <x v="5"/>
    <x v="14"/>
  </r>
  <r>
    <s v="ORD00898"/>
    <x v="5"/>
    <x v="4"/>
    <n v="31978.03"/>
    <n v="2"/>
    <n v="63956.06"/>
    <x v="190"/>
    <x v="4"/>
    <x v="13"/>
  </r>
  <r>
    <s v="ORD00899"/>
    <x v="24"/>
    <x v="1"/>
    <n v="45516.21"/>
    <n v="1"/>
    <n v="45516.21"/>
    <x v="163"/>
    <x v="1"/>
    <x v="34"/>
  </r>
  <r>
    <s v="ORD00900"/>
    <x v="13"/>
    <x v="0"/>
    <n v="31922.03"/>
    <n v="1"/>
    <n v="31922.03"/>
    <x v="310"/>
    <x v="5"/>
    <x v="15"/>
  </r>
  <r>
    <s v="ORD00901"/>
    <x v="11"/>
    <x v="2"/>
    <n v="3481.52"/>
    <n v="3"/>
    <n v="10444.56"/>
    <x v="95"/>
    <x v="5"/>
    <x v="19"/>
  </r>
  <r>
    <s v="ORD00902"/>
    <x v="7"/>
    <x v="4"/>
    <n v="27507.360000000001"/>
    <n v="4"/>
    <n v="110029.44"/>
    <x v="321"/>
    <x v="4"/>
    <x v="16"/>
  </r>
  <r>
    <s v="ORD00903"/>
    <x v="7"/>
    <x v="4"/>
    <n v="34870.120000000003"/>
    <n v="5"/>
    <n v="174350.6"/>
    <x v="199"/>
    <x v="0"/>
    <x v="29"/>
  </r>
  <r>
    <s v="ORD00904"/>
    <x v="7"/>
    <x v="4"/>
    <n v="11540.73"/>
    <n v="1"/>
    <n v="11540.73"/>
    <x v="301"/>
    <x v="2"/>
    <x v="22"/>
  </r>
  <r>
    <s v="ORD00905"/>
    <x v="18"/>
    <x v="3"/>
    <n v="2926.8"/>
    <n v="4"/>
    <n v="11707.2"/>
    <x v="218"/>
    <x v="4"/>
    <x v="10"/>
  </r>
  <r>
    <s v="ORD00906"/>
    <x v="0"/>
    <x v="0"/>
    <n v="37341.949999999997"/>
    <n v="2"/>
    <n v="74683.899999999994"/>
    <x v="107"/>
    <x v="0"/>
    <x v="38"/>
  </r>
  <r>
    <s v="ORD00907"/>
    <x v="7"/>
    <x v="4"/>
    <n v="30100.73"/>
    <n v="1"/>
    <n v="30100.73"/>
    <x v="305"/>
    <x v="1"/>
    <x v="5"/>
  </r>
  <r>
    <s v="ORD00908"/>
    <x v="1"/>
    <x v="1"/>
    <n v="4442.1000000000004"/>
    <n v="3"/>
    <n v="13326.3"/>
    <x v="336"/>
    <x v="0"/>
    <x v="18"/>
  </r>
  <r>
    <s v="ORD00909"/>
    <x v="16"/>
    <x v="4"/>
    <n v="18657.990000000002"/>
    <n v="5"/>
    <n v="93289.95"/>
    <x v="57"/>
    <x v="5"/>
    <x v="5"/>
  </r>
  <r>
    <s v="ORD00910"/>
    <x v="19"/>
    <x v="2"/>
    <n v="41402.76"/>
    <n v="1"/>
    <n v="41402.76"/>
    <x v="56"/>
    <x v="4"/>
    <x v="3"/>
  </r>
  <r>
    <s v="ORD00911"/>
    <x v="0"/>
    <x v="0"/>
    <n v="49796.61"/>
    <n v="1"/>
    <n v="49796.61"/>
    <x v="257"/>
    <x v="3"/>
    <x v="27"/>
  </r>
  <r>
    <s v="ORD00912"/>
    <x v="10"/>
    <x v="2"/>
    <n v="32712.91"/>
    <n v="2"/>
    <n v="65425.82"/>
    <x v="226"/>
    <x v="5"/>
    <x v="24"/>
  </r>
  <r>
    <s v="ORD00913"/>
    <x v="2"/>
    <x v="2"/>
    <n v="26281.98"/>
    <n v="1"/>
    <n v="26281.98"/>
    <x v="340"/>
    <x v="0"/>
    <x v="17"/>
  </r>
  <r>
    <s v="ORD00914"/>
    <x v="7"/>
    <x v="4"/>
    <n v="30805.88"/>
    <n v="5"/>
    <n v="154029.4"/>
    <x v="176"/>
    <x v="4"/>
    <x v="19"/>
  </r>
  <r>
    <s v="ORD00915"/>
    <x v="24"/>
    <x v="1"/>
    <n v="9045.23"/>
    <n v="5"/>
    <n v="45226.15"/>
    <x v="6"/>
    <x v="3"/>
    <x v="33"/>
  </r>
  <r>
    <s v="ORD00916"/>
    <x v="20"/>
    <x v="3"/>
    <n v="16003.38"/>
    <n v="2"/>
    <n v="32006.76"/>
    <x v="105"/>
    <x v="1"/>
    <x v="27"/>
  </r>
  <r>
    <s v="ORD00917"/>
    <x v="1"/>
    <x v="1"/>
    <n v="35139.53"/>
    <n v="1"/>
    <n v="35139.53"/>
    <x v="190"/>
    <x v="2"/>
    <x v="36"/>
  </r>
  <r>
    <s v="ORD00918"/>
    <x v="21"/>
    <x v="0"/>
    <n v="13640.1"/>
    <n v="4"/>
    <n v="54560.4"/>
    <x v="262"/>
    <x v="2"/>
    <x v="26"/>
  </r>
  <r>
    <s v="ORD00919"/>
    <x v="4"/>
    <x v="4"/>
    <n v="5535.76"/>
    <n v="2"/>
    <n v="11071.52"/>
    <x v="341"/>
    <x v="1"/>
    <x v="22"/>
  </r>
  <r>
    <s v="ORD00920"/>
    <x v="5"/>
    <x v="4"/>
    <n v="1039.1099999999999"/>
    <n v="4"/>
    <n v="4156.4399999999996"/>
    <x v="28"/>
    <x v="4"/>
    <x v="28"/>
  </r>
  <r>
    <s v="ORD00921"/>
    <x v="7"/>
    <x v="4"/>
    <n v="41169.65"/>
    <n v="5"/>
    <n v="205848.25"/>
    <x v="274"/>
    <x v="4"/>
    <x v="29"/>
  </r>
  <r>
    <s v="ORD00922"/>
    <x v="18"/>
    <x v="3"/>
    <n v="21472.14"/>
    <n v="2"/>
    <n v="42944.28"/>
    <x v="307"/>
    <x v="0"/>
    <x v="20"/>
  </r>
  <r>
    <s v="ORD00923"/>
    <x v="13"/>
    <x v="0"/>
    <n v="7936.7"/>
    <n v="5"/>
    <n v="39683.5"/>
    <x v="72"/>
    <x v="0"/>
    <x v="4"/>
  </r>
  <r>
    <s v="ORD00924"/>
    <x v="8"/>
    <x v="1"/>
    <n v="23939.919999999998"/>
    <n v="3"/>
    <n v="71819.759999999995"/>
    <x v="72"/>
    <x v="5"/>
    <x v="37"/>
  </r>
  <r>
    <s v="ORD00925"/>
    <x v="1"/>
    <x v="1"/>
    <n v="47480.71"/>
    <n v="5"/>
    <n v="237403.55"/>
    <x v="168"/>
    <x v="1"/>
    <x v="4"/>
  </r>
  <r>
    <s v="ORD00926"/>
    <x v="23"/>
    <x v="4"/>
    <n v="8058.4"/>
    <n v="3"/>
    <n v="24175.200000000001"/>
    <x v="43"/>
    <x v="5"/>
    <x v="36"/>
  </r>
  <r>
    <s v="ORD00927"/>
    <x v="19"/>
    <x v="2"/>
    <n v="32369.52"/>
    <n v="2"/>
    <n v="64739.040000000001"/>
    <x v="117"/>
    <x v="0"/>
    <x v="29"/>
  </r>
  <r>
    <s v="ORD00928"/>
    <x v="1"/>
    <x v="1"/>
    <n v="29604.77"/>
    <n v="4"/>
    <n v="118419.08"/>
    <x v="59"/>
    <x v="2"/>
    <x v="13"/>
  </r>
  <r>
    <s v="ORD00929"/>
    <x v="8"/>
    <x v="1"/>
    <n v="19927.72"/>
    <n v="2"/>
    <n v="39855.440000000002"/>
    <x v="338"/>
    <x v="4"/>
    <x v="13"/>
  </r>
  <r>
    <s v="ORD00930"/>
    <x v="13"/>
    <x v="0"/>
    <n v="42170.48"/>
    <n v="1"/>
    <n v="42170.48"/>
    <x v="302"/>
    <x v="1"/>
    <x v="2"/>
  </r>
  <r>
    <s v="ORD00931"/>
    <x v="24"/>
    <x v="1"/>
    <n v="15950.41"/>
    <n v="5"/>
    <n v="79752.05"/>
    <x v="87"/>
    <x v="3"/>
    <x v="39"/>
  </r>
  <r>
    <s v="ORD00932"/>
    <x v="21"/>
    <x v="0"/>
    <n v="791.45"/>
    <n v="4"/>
    <n v="3165.8"/>
    <x v="103"/>
    <x v="4"/>
    <x v="12"/>
  </r>
  <r>
    <s v="ORD00933"/>
    <x v="1"/>
    <x v="1"/>
    <n v="28534.99"/>
    <n v="3"/>
    <n v="85604.97"/>
    <x v="331"/>
    <x v="5"/>
    <x v="31"/>
  </r>
  <r>
    <s v="ORD00934"/>
    <x v="5"/>
    <x v="4"/>
    <n v="13371.43"/>
    <n v="4"/>
    <n v="53485.72"/>
    <x v="37"/>
    <x v="5"/>
    <x v="12"/>
  </r>
  <r>
    <s v="ORD00935"/>
    <x v="18"/>
    <x v="3"/>
    <n v="48073.8"/>
    <n v="4"/>
    <n v="192295.2"/>
    <x v="342"/>
    <x v="4"/>
    <x v="27"/>
  </r>
  <r>
    <s v="ORD00936"/>
    <x v="21"/>
    <x v="0"/>
    <n v="15240.16"/>
    <n v="5"/>
    <n v="76200.800000000003"/>
    <x v="300"/>
    <x v="5"/>
    <x v="22"/>
  </r>
  <r>
    <s v="ORD00937"/>
    <x v="13"/>
    <x v="0"/>
    <n v="11216.38"/>
    <n v="5"/>
    <n v="56081.9"/>
    <x v="343"/>
    <x v="3"/>
    <x v="18"/>
  </r>
  <r>
    <s v="ORD00938"/>
    <x v="21"/>
    <x v="0"/>
    <n v="540.63"/>
    <n v="3"/>
    <n v="1621.89"/>
    <x v="77"/>
    <x v="3"/>
    <x v="0"/>
  </r>
  <r>
    <s v="ORD00939"/>
    <x v="3"/>
    <x v="3"/>
    <n v="19845.72"/>
    <n v="3"/>
    <n v="59537.16"/>
    <x v="293"/>
    <x v="3"/>
    <x v="9"/>
  </r>
  <r>
    <s v="ORD00940"/>
    <x v="8"/>
    <x v="1"/>
    <n v="31486.57"/>
    <n v="1"/>
    <n v="31486.57"/>
    <x v="184"/>
    <x v="2"/>
    <x v="32"/>
  </r>
  <r>
    <s v="ORD00941"/>
    <x v="3"/>
    <x v="3"/>
    <n v="47899.72"/>
    <n v="2"/>
    <n v="95799.44"/>
    <x v="56"/>
    <x v="3"/>
    <x v="9"/>
  </r>
  <r>
    <s v="ORD00942"/>
    <x v="0"/>
    <x v="0"/>
    <n v="39842.15"/>
    <n v="5"/>
    <n v="199210.75"/>
    <x v="297"/>
    <x v="0"/>
    <x v="38"/>
  </r>
  <r>
    <s v="ORD00943"/>
    <x v="6"/>
    <x v="1"/>
    <n v="46101.14"/>
    <n v="2"/>
    <n v="92202.28"/>
    <x v="305"/>
    <x v="5"/>
    <x v="9"/>
  </r>
  <r>
    <s v="ORD00944"/>
    <x v="21"/>
    <x v="0"/>
    <n v="46563.35"/>
    <n v="5"/>
    <n v="232816.75"/>
    <x v="293"/>
    <x v="0"/>
    <x v="12"/>
  </r>
  <r>
    <s v="ORD00945"/>
    <x v="9"/>
    <x v="3"/>
    <n v="35922.639999999999"/>
    <n v="4"/>
    <n v="143690.56"/>
    <x v="244"/>
    <x v="1"/>
    <x v="4"/>
  </r>
  <r>
    <s v="ORD00946"/>
    <x v="18"/>
    <x v="3"/>
    <n v="33745.33"/>
    <n v="1"/>
    <n v="33745.33"/>
    <x v="333"/>
    <x v="3"/>
    <x v="29"/>
  </r>
  <r>
    <s v="ORD00947"/>
    <x v="24"/>
    <x v="1"/>
    <n v="22870.53"/>
    <n v="5"/>
    <n v="114352.65"/>
    <x v="271"/>
    <x v="3"/>
    <x v="23"/>
  </r>
  <r>
    <s v="ORD00948"/>
    <x v="23"/>
    <x v="4"/>
    <n v="29715.31"/>
    <n v="2"/>
    <n v="59430.62"/>
    <x v="77"/>
    <x v="3"/>
    <x v="0"/>
  </r>
  <r>
    <s v="ORD00949"/>
    <x v="1"/>
    <x v="1"/>
    <n v="15543.65"/>
    <n v="4"/>
    <n v="62174.6"/>
    <x v="85"/>
    <x v="4"/>
    <x v="29"/>
  </r>
  <r>
    <s v="ORD00950"/>
    <x v="12"/>
    <x v="3"/>
    <n v="8234.32"/>
    <n v="2"/>
    <n v="16468.64"/>
    <x v="12"/>
    <x v="0"/>
    <x v="30"/>
  </r>
  <r>
    <s v="ORD00951"/>
    <x v="15"/>
    <x v="1"/>
    <n v="959.63"/>
    <n v="1"/>
    <n v="959.63"/>
    <x v="126"/>
    <x v="2"/>
    <x v="14"/>
  </r>
  <r>
    <s v="ORD00952"/>
    <x v="2"/>
    <x v="2"/>
    <n v="34969.69"/>
    <n v="5"/>
    <n v="174848.45"/>
    <x v="13"/>
    <x v="5"/>
    <x v="9"/>
  </r>
  <r>
    <s v="ORD00953"/>
    <x v="20"/>
    <x v="3"/>
    <n v="46553.58"/>
    <n v="3"/>
    <n v="139660.74"/>
    <x v="344"/>
    <x v="3"/>
    <x v="10"/>
  </r>
  <r>
    <s v="ORD00954"/>
    <x v="2"/>
    <x v="2"/>
    <n v="33472.93"/>
    <n v="1"/>
    <n v="33472.93"/>
    <x v="195"/>
    <x v="4"/>
    <x v="20"/>
  </r>
  <r>
    <s v="ORD00955"/>
    <x v="12"/>
    <x v="3"/>
    <n v="29781.11"/>
    <n v="2"/>
    <n v="59562.22"/>
    <x v="345"/>
    <x v="0"/>
    <x v="22"/>
  </r>
  <r>
    <s v="ORD00956"/>
    <x v="4"/>
    <x v="4"/>
    <n v="30564.98"/>
    <n v="3"/>
    <n v="91694.94"/>
    <x v="90"/>
    <x v="0"/>
    <x v="28"/>
  </r>
  <r>
    <s v="ORD00957"/>
    <x v="6"/>
    <x v="1"/>
    <n v="42407.519999999997"/>
    <n v="2"/>
    <n v="84815.039999999994"/>
    <x v="235"/>
    <x v="0"/>
    <x v="25"/>
  </r>
  <r>
    <s v="ORD00958"/>
    <x v="21"/>
    <x v="0"/>
    <n v="10435.030000000001"/>
    <n v="1"/>
    <n v="10435.030000000001"/>
    <x v="289"/>
    <x v="0"/>
    <x v="4"/>
  </r>
  <r>
    <s v="ORD00959"/>
    <x v="20"/>
    <x v="3"/>
    <n v="35278.46"/>
    <n v="3"/>
    <n v="105835.38"/>
    <x v="222"/>
    <x v="3"/>
    <x v="12"/>
  </r>
  <r>
    <s v="ORD00960"/>
    <x v="12"/>
    <x v="3"/>
    <n v="34844.54"/>
    <n v="3"/>
    <n v="104533.62"/>
    <x v="283"/>
    <x v="4"/>
    <x v="38"/>
  </r>
  <r>
    <s v="ORD00961"/>
    <x v="13"/>
    <x v="0"/>
    <n v="31159.759999999998"/>
    <n v="5"/>
    <n v="155798.79999999999"/>
    <x v="227"/>
    <x v="2"/>
    <x v="19"/>
  </r>
  <r>
    <s v="ORD00962"/>
    <x v="24"/>
    <x v="1"/>
    <n v="27369.17"/>
    <n v="4"/>
    <n v="109476.68"/>
    <x v="96"/>
    <x v="1"/>
    <x v="0"/>
  </r>
  <r>
    <s v="ORD00963"/>
    <x v="11"/>
    <x v="2"/>
    <n v="47055.28"/>
    <n v="1"/>
    <n v="47055.28"/>
    <x v="175"/>
    <x v="4"/>
    <x v="32"/>
  </r>
  <r>
    <s v="ORD00964"/>
    <x v="18"/>
    <x v="3"/>
    <n v="30706.15"/>
    <n v="4"/>
    <n v="122824.6"/>
    <x v="128"/>
    <x v="1"/>
    <x v="36"/>
  </r>
  <r>
    <s v="ORD00965"/>
    <x v="17"/>
    <x v="2"/>
    <n v="659.73"/>
    <n v="4"/>
    <n v="2638.92"/>
    <x v="209"/>
    <x v="1"/>
    <x v="0"/>
  </r>
  <r>
    <s v="ORD00966"/>
    <x v="10"/>
    <x v="2"/>
    <n v="14341.13"/>
    <n v="4"/>
    <n v="57364.52"/>
    <x v="78"/>
    <x v="4"/>
    <x v="39"/>
  </r>
  <r>
    <s v="ORD00967"/>
    <x v="0"/>
    <x v="0"/>
    <n v="22923.93"/>
    <n v="4"/>
    <n v="91695.72"/>
    <x v="72"/>
    <x v="3"/>
    <x v="29"/>
  </r>
  <r>
    <s v="ORD00968"/>
    <x v="7"/>
    <x v="4"/>
    <n v="20766.47"/>
    <n v="2"/>
    <n v="41532.94"/>
    <x v="264"/>
    <x v="3"/>
    <x v="31"/>
  </r>
  <r>
    <s v="ORD00969"/>
    <x v="18"/>
    <x v="3"/>
    <n v="36615.730000000003"/>
    <n v="5"/>
    <n v="183078.65"/>
    <x v="262"/>
    <x v="5"/>
    <x v="6"/>
  </r>
  <r>
    <s v="ORD00970"/>
    <x v="15"/>
    <x v="1"/>
    <n v="879.25"/>
    <n v="4"/>
    <n v="3517"/>
    <x v="65"/>
    <x v="2"/>
    <x v="35"/>
  </r>
  <r>
    <s v="ORD00971"/>
    <x v="16"/>
    <x v="4"/>
    <n v="8571.5499999999993"/>
    <n v="4"/>
    <n v="34286.199999999997"/>
    <x v="83"/>
    <x v="2"/>
    <x v="1"/>
  </r>
  <r>
    <s v="ORD00972"/>
    <x v="20"/>
    <x v="3"/>
    <n v="23125.33"/>
    <n v="5"/>
    <n v="115626.65"/>
    <x v="243"/>
    <x v="0"/>
    <x v="13"/>
  </r>
  <r>
    <s v="ORD00973"/>
    <x v="0"/>
    <x v="0"/>
    <n v="5712.21"/>
    <n v="3"/>
    <n v="17136.63"/>
    <x v="96"/>
    <x v="1"/>
    <x v="22"/>
  </r>
  <r>
    <s v="ORD00974"/>
    <x v="15"/>
    <x v="1"/>
    <n v="1434.23"/>
    <n v="2"/>
    <n v="2868.46"/>
    <x v="63"/>
    <x v="1"/>
    <x v="0"/>
  </r>
  <r>
    <s v="ORD00975"/>
    <x v="21"/>
    <x v="0"/>
    <n v="43163.16"/>
    <n v="2"/>
    <n v="86326.32"/>
    <x v="254"/>
    <x v="0"/>
    <x v="30"/>
  </r>
  <r>
    <s v="ORD00976"/>
    <x v="23"/>
    <x v="4"/>
    <n v="38545.29"/>
    <n v="1"/>
    <n v="38545.29"/>
    <x v="187"/>
    <x v="2"/>
    <x v="11"/>
  </r>
  <r>
    <s v="ORD00977"/>
    <x v="11"/>
    <x v="2"/>
    <n v="8188.18"/>
    <n v="2"/>
    <n v="16376.36"/>
    <x v="331"/>
    <x v="2"/>
    <x v="11"/>
  </r>
  <r>
    <s v="ORD00978"/>
    <x v="7"/>
    <x v="4"/>
    <n v="35763.480000000003"/>
    <n v="4"/>
    <n v="143053.92000000001"/>
    <x v="4"/>
    <x v="1"/>
    <x v="13"/>
  </r>
  <r>
    <s v="ORD00979"/>
    <x v="4"/>
    <x v="4"/>
    <n v="10818.91"/>
    <n v="2"/>
    <n v="21637.82"/>
    <x v="327"/>
    <x v="2"/>
    <x v="31"/>
  </r>
  <r>
    <s v="ORD00980"/>
    <x v="10"/>
    <x v="2"/>
    <n v="35506.410000000003"/>
    <n v="5"/>
    <n v="177532.05"/>
    <x v="223"/>
    <x v="2"/>
    <x v="12"/>
  </r>
  <r>
    <s v="ORD00981"/>
    <x v="9"/>
    <x v="3"/>
    <n v="19010.38"/>
    <n v="5"/>
    <n v="95051.9"/>
    <x v="55"/>
    <x v="2"/>
    <x v="39"/>
  </r>
  <r>
    <s v="ORD00982"/>
    <x v="21"/>
    <x v="0"/>
    <n v="29678.85"/>
    <n v="3"/>
    <n v="89036.55"/>
    <x v="257"/>
    <x v="1"/>
    <x v="36"/>
  </r>
  <r>
    <s v="ORD00983"/>
    <x v="13"/>
    <x v="0"/>
    <n v="5412.9"/>
    <n v="5"/>
    <n v="27064.5"/>
    <x v="69"/>
    <x v="3"/>
    <x v="37"/>
  </r>
  <r>
    <s v="ORD00984"/>
    <x v="1"/>
    <x v="1"/>
    <n v="22890.95"/>
    <n v="3"/>
    <n v="68672.850000000006"/>
    <x v="214"/>
    <x v="4"/>
    <x v="32"/>
  </r>
  <r>
    <s v="ORD00985"/>
    <x v="1"/>
    <x v="1"/>
    <n v="40905.69"/>
    <n v="5"/>
    <n v="204528.45"/>
    <x v="117"/>
    <x v="3"/>
    <x v="30"/>
  </r>
  <r>
    <s v="ORD00986"/>
    <x v="16"/>
    <x v="4"/>
    <n v="17253.669999999998"/>
    <n v="3"/>
    <n v="51761.01"/>
    <x v="21"/>
    <x v="0"/>
    <x v="33"/>
  </r>
  <r>
    <s v="ORD00987"/>
    <x v="0"/>
    <x v="0"/>
    <n v="27920.2"/>
    <n v="5"/>
    <n v="139601"/>
    <x v="319"/>
    <x v="2"/>
    <x v="29"/>
  </r>
  <r>
    <s v="ORD00988"/>
    <x v="8"/>
    <x v="1"/>
    <n v="46055.88"/>
    <n v="5"/>
    <n v="230279.4"/>
    <x v="87"/>
    <x v="3"/>
    <x v="24"/>
  </r>
  <r>
    <s v="ORD00989"/>
    <x v="3"/>
    <x v="3"/>
    <n v="49569.3"/>
    <n v="4"/>
    <n v="198277.2"/>
    <x v="120"/>
    <x v="3"/>
    <x v="12"/>
  </r>
  <r>
    <s v="ORD00990"/>
    <x v="0"/>
    <x v="0"/>
    <n v="35948.160000000003"/>
    <n v="5"/>
    <n v="179740.79999999999"/>
    <x v="46"/>
    <x v="2"/>
    <x v="15"/>
  </r>
  <r>
    <s v="ORD00991"/>
    <x v="21"/>
    <x v="0"/>
    <n v="9189.91"/>
    <n v="5"/>
    <n v="45949.55"/>
    <x v="55"/>
    <x v="2"/>
    <x v="35"/>
  </r>
  <r>
    <s v="ORD00992"/>
    <x v="5"/>
    <x v="4"/>
    <n v="6075.65"/>
    <n v="2"/>
    <n v="12151.3"/>
    <x v="142"/>
    <x v="4"/>
    <x v="37"/>
  </r>
  <r>
    <s v="ORD00993"/>
    <x v="5"/>
    <x v="4"/>
    <n v="25511.46"/>
    <n v="2"/>
    <n v="51022.92"/>
    <x v="268"/>
    <x v="5"/>
    <x v="13"/>
  </r>
  <r>
    <s v="ORD00994"/>
    <x v="5"/>
    <x v="4"/>
    <n v="5815.52"/>
    <n v="4"/>
    <n v="23262.080000000002"/>
    <x v="315"/>
    <x v="1"/>
    <x v="21"/>
  </r>
  <r>
    <s v="ORD00995"/>
    <x v="6"/>
    <x v="1"/>
    <n v="11479.89"/>
    <n v="3"/>
    <n v="34439.67"/>
    <x v="312"/>
    <x v="5"/>
    <x v="15"/>
  </r>
  <r>
    <s v="ORD00996"/>
    <x v="12"/>
    <x v="3"/>
    <n v="28995.81"/>
    <n v="3"/>
    <n v="86987.43"/>
    <x v="333"/>
    <x v="3"/>
    <x v="40"/>
  </r>
  <r>
    <s v="ORD00997"/>
    <x v="10"/>
    <x v="2"/>
    <n v="32799.51"/>
    <n v="2"/>
    <n v="65599.02"/>
    <x v="1"/>
    <x v="2"/>
    <x v="7"/>
  </r>
  <r>
    <s v="ORD00998"/>
    <x v="2"/>
    <x v="2"/>
    <n v="40840.800000000003"/>
    <n v="1"/>
    <n v="40840.800000000003"/>
    <x v="320"/>
    <x v="1"/>
    <x v="4"/>
  </r>
  <r>
    <s v="ORD00999"/>
    <x v="4"/>
    <x v="4"/>
    <n v="34741.79"/>
    <n v="4"/>
    <n v="138967.16"/>
    <x v="107"/>
    <x v="5"/>
    <x v="3"/>
  </r>
  <r>
    <s v="ORD01000"/>
    <x v="7"/>
    <x v="4"/>
    <n v="16698.12"/>
    <n v="4"/>
    <n v="66792.479999999996"/>
    <x v="192"/>
    <x v="4"/>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76B9E6-0798-433E-B5AD-A2396DB9ED0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J3:K16" firstHeaderRow="1" firstDataRow="1" firstDataCol="1"/>
  <pivotFields count="12">
    <pivotField showAll="0"/>
    <pivotField showAll="0"/>
    <pivotField showAll="0"/>
    <pivotField dataField="1" showAll="0"/>
    <pivotField showAll="0"/>
    <pivotField showAll="0"/>
    <pivotField numFmtId="14" showAll="0">
      <items count="347">
        <item x="36"/>
        <item x="66"/>
        <item x="319"/>
        <item x="40"/>
        <item x="244"/>
        <item x="148"/>
        <item x="218"/>
        <item x="124"/>
        <item x="194"/>
        <item x="259"/>
        <item x="11"/>
        <item x="182"/>
        <item x="314"/>
        <item x="60"/>
        <item x="311"/>
        <item x="223"/>
        <item x="337"/>
        <item x="305"/>
        <item x="276"/>
        <item x="189"/>
        <item x="119"/>
        <item x="139"/>
        <item x="142"/>
        <item x="213"/>
        <item x="345"/>
        <item x="231"/>
        <item x="248"/>
        <item x="343"/>
        <item x="247"/>
        <item x="261"/>
        <item x="8"/>
        <item x="233"/>
        <item x="306"/>
        <item x="265"/>
        <item x="316"/>
        <item x="20"/>
        <item x="232"/>
        <item x="103"/>
        <item x="15"/>
        <item x="125"/>
        <item x="63"/>
        <item x="68"/>
        <item x="192"/>
        <item x="154"/>
        <item x="179"/>
        <item x="336"/>
        <item x="13"/>
        <item x="263"/>
        <item x="80"/>
        <item x="198"/>
        <item x="220"/>
        <item x="50"/>
        <item x="158"/>
        <item x="164"/>
        <item x="217"/>
        <item x="61"/>
        <item x="328"/>
        <item x="262"/>
        <item x="131"/>
        <item x="77"/>
        <item x="10"/>
        <item x="27"/>
        <item x="252"/>
        <item x="25"/>
        <item x="239"/>
        <item x="335"/>
        <item x="249"/>
        <item x="112"/>
        <item x="104"/>
        <item x="14"/>
        <item x="264"/>
        <item x="280"/>
        <item x="303"/>
        <item x="269"/>
        <item x="203"/>
        <item x="62"/>
        <item x="294"/>
        <item x="285"/>
        <item x="31"/>
        <item x="108"/>
        <item x="226"/>
        <item x="93"/>
        <item x="260"/>
        <item x="59"/>
        <item x="313"/>
        <item x="293"/>
        <item x="147"/>
        <item x="92"/>
        <item x="120"/>
        <item x="241"/>
        <item x="284"/>
        <item x="145"/>
        <item x="174"/>
        <item x="52"/>
        <item x="288"/>
        <item x="2"/>
        <item x="190"/>
        <item x="167"/>
        <item x="310"/>
        <item x="188"/>
        <item x="82"/>
        <item x="267"/>
        <item x="99"/>
        <item x="235"/>
        <item x="102"/>
        <item x="237"/>
        <item x="195"/>
        <item x="76"/>
        <item x="85"/>
        <item x="113"/>
        <item x="12"/>
        <item x="133"/>
        <item x="246"/>
        <item x="224"/>
        <item x="37"/>
        <item x="338"/>
        <item x="161"/>
        <item x="256"/>
        <item x="32"/>
        <item x="240"/>
        <item x="54"/>
        <item x="300"/>
        <item x="176"/>
        <item x="175"/>
        <item x="110"/>
        <item x="170"/>
        <item x="291"/>
        <item x="271"/>
        <item x="211"/>
        <item x="42"/>
        <item x="19"/>
        <item x="340"/>
        <item x="94"/>
        <item x="281"/>
        <item x="33"/>
        <item x="78"/>
        <item x="69"/>
        <item x="205"/>
        <item x="242"/>
        <item x="6"/>
        <item x="64"/>
        <item x="296"/>
        <item x="89"/>
        <item x="212"/>
        <item x="17"/>
        <item x="56"/>
        <item x="150"/>
        <item x="270"/>
        <item x="196"/>
        <item x="90"/>
        <item x="30"/>
        <item x="70"/>
        <item x="245"/>
        <item x="100"/>
        <item x="163"/>
        <item x="298"/>
        <item x="24"/>
        <item x="135"/>
        <item x="22"/>
        <item x="272"/>
        <item x="41"/>
        <item x="320"/>
        <item x="251"/>
        <item x="55"/>
        <item x="136"/>
        <item x="312"/>
        <item x="34"/>
        <item x="327"/>
        <item x="144"/>
        <item x="95"/>
        <item x="26"/>
        <item x="128"/>
        <item x="287"/>
        <item x="301"/>
        <item x="193"/>
        <item x="109"/>
        <item x="44"/>
        <item x="172"/>
        <item x="250"/>
        <item x="225"/>
        <item x="331"/>
        <item x="184"/>
        <item x="173"/>
        <item x="255"/>
        <item x="258"/>
        <item x="121"/>
        <item x="339"/>
        <item x="153"/>
        <item x="23"/>
        <item x="67"/>
        <item x="106"/>
        <item x="222"/>
        <item x="326"/>
        <item x="299"/>
        <item x="53"/>
        <item x="140"/>
        <item x="186"/>
        <item x="156"/>
        <item x="51"/>
        <item x="146"/>
        <item x="88"/>
        <item x="187"/>
        <item x="65"/>
        <item x="307"/>
        <item x="168"/>
        <item x="45"/>
        <item x="96"/>
        <item x="0"/>
        <item x="105"/>
        <item x="321"/>
        <item x="181"/>
        <item x="266"/>
        <item x="162"/>
        <item x="118"/>
        <item x="210"/>
        <item x="234"/>
        <item x="91"/>
        <item x="289"/>
        <item x="79"/>
        <item x="283"/>
        <item x="122"/>
        <item x="228"/>
        <item x="273"/>
        <item x="149"/>
        <item x="29"/>
        <item x="107"/>
        <item x="342"/>
        <item x="49"/>
        <item x="157"/>
        <item x="185"/>
        <item x="98"/>
        <item x="39"/>
        <item x="216"/>
        <item x="315"/>
        <item x="215"/>
        <item x="318"/>
        <item x="229"/>
        <item x="152"/>
        <item x="28"/>
        <item x="129"/>
        <item x="169"/>
        <item x="324"/>
        <item x="323"/>
        <item x="5"/>
        <item x="334"/>
        <item x="151"/>
        <item x="257"/>
        <item x="35"/>
        <item x="75"/>
        <item x="114"/>
        <item x="302"/>
        <item x="46"/>
        <item x="277"/>
        <item x="207"/>
        <item x="155"/>
        <item x="279"/>
        <item x="177"/>
        <item x="206"/>
        <item x="317"/>
        <item x="73"/>
        <item x="3"/>
        <item x="201"/>
        <item x="202"/>
        <item x="47"/>
        <item x="308"/>
        <item x="171"/>
        <item x="159"/>
        <item x="183"/>
        <item x="275"/>
        <item x="304"/>
        <item x="278"/>
        <item x="330"/>
        <item x="126"/>
        <item x="48"/>
        <item x="81"/>
        <item x="21"/>
        <item x="208"/>
        <item x="236"/>
        <item x="268"/>
        <item x="43"/>
        <item x="132"/>
        <item x="214"/>
        <item x="322"/>
        <item x="141"/>
        <item x="74"/>
        <item x="138"/>
        <item x="329"/>
        <item x="87"/>
        <item x="209"/>
        <item x="254"/>
        <item x="72"/>
        <item x="180"/>
        <item x="191"/>
        <item x="325"/>
        <item x="38"/>
        <item x="274"/>
        <item x="253"/>
        <item x="1"/>
        <item x="143"/>
        <item x="130"/>
        <item x="58"/>
        <item x="97"/>
        <item x="290"/>
        <item x="160"/>
        <item x="4"/>
        <item x="166"/>
        <item x="286"/>
        <item x="230"/>
        <item x="123"/>
        <item x="116"/>
        <item x="57"/>
        <item x="332"/>
        <item x="344"/>
        <item x="127"/>
        <item x="16"/>
        <item x="238"/>
        <item x="219"/>
        <item x="200"/>
        <item x="111"/>
        <item x="83"/>
        <item x="333"/>
        <item x="134"/>
        <item x="101"/>
        <item x="292"/>
        <item x="297"/>
        <item x="7"/>
        <item x="243"/>
        <item x="282"/>
        <item x="18"/>
        <item x="199"/>
        <item x="137"/>
        <item x="227"/>
        <item x="309"/>
        <item x="117"/>
        <item x="84"/>
        <item x="221"/>
        <item x="165"/>
        <item x="178"/>
        <item x="86"/>
        <item x="115"/>
        <item x="341"/>
        <item x="295"/>
        <item x="204"/>
        <item x="197"/>
        <item x="9"/>
        <item x="71"/>
        <item t="default"/>
      </items>
    </pivotField>
    <pivotField showAll="0">
      <items count="7">
        <item x="3"/>
        <item x="4"/>
        <item x="0"/>
        <item x="5"/>
        <item x="1"/>
        <item x="2"/>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Price (INR)" fld="3" baseField="0" baseItem="0"/>
  </dataFields>
  <formats count="10">
    <format dxfId="741">
      <pivotArea type="all" dataOnly="0" outline="0" fieldPosition="0"/>
    </format>
    <format dxfId="740">
      <pivotArea outline="0" collapsedLevelsAreSubtotals="1" fieldPosition="0"/>
    </format>
    <format dxfId="739">
      <pivotArea field="9" type="button" dataOnly="0" labelOnly="1" outline="0" axis="axisRow" fieldPosition="0"/>
    </format>
    <format dxfId="738">
      <pivotArea dataOnly="0" labelOnly="1" grandRow="1" outline="0" fieldPosition="0"/>
    </format>
    <format dxfId="737">
      <pivotArea dataOnly="0" labelOnly="1" outline="0" axis="axisValues" fieldPosition="0"/>
    </format>
    <format dxfId="736">
      <pivotArea type="all" dataOnly="0" outline="0" fieldPosition="0"/>
    </format>
    <format dxfId="735">
      <pivotArea outline="0" collapsedLevelsAreSubtotals="1" fieldPosition="0"/>
    </format>
    <format dxfId="734">
      <pivotArea field="9" type="button" dataOnly="0" labelOnly="1" outline="0" axis="axisRow" fieldPosition="0"/>
    </format>
    <format dxfId="733">
      <pivotArea dataOnly="0" labelOnly="1" grandRow="1" outline="0" fieldPosition="0"/>
    </format>
    <format dxfId="732">
      <pivotArea dataOnly="0" labelOnly="1" outline="0" axis="axisValues" fieldPosition="0"/>
    </format>
  </formats>
  <chartFormats count="2">
    <chartFormat chart="15"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9E6E30-FAD1-42BC-9B9F-5E82CBCE43B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G3:H29" firstHeaderRow="1" firstDataRow="1" firstDataCol="1"/>
  <pivotFields count="12">
    <pivotField showAll="0"/>
    <pivotField axis="axisRow" showAll="0">
      <items count="26">
        <item x="16"/>
        <item x="13"/>
        <item x="14"/>
        <item x="4"/>
        <item x="24"/>
        <item x="0"/>
        <item x="2"/>
        <item x="21"/>
        <item x="17"/>
        <item x="20"/>
        <item x="8"/>
        <item x="1"/>
        <item x="18"/>
        <item x="11"/>
        <item x="5"/>
        <item x="10"/>
        <item x="22"/>
        <item x="19"/>
        <item x="12"/>
        <item x="3"/>
        <item x="6"/>
        <item x="23"/>
        <item x="7"/>
        <item x="9"/>
        <item x="15"/>
        <item t="default"/>
      </items>
    </pivotField>
    <pivotField showAll="0"/>
    <pivotField dataField="1" showAll="0"/>
    <pivotField showAll="0"/>
    <pivotField showAll="0"/>
    <pivotField numFmtId="14" showAll="0">
      <items count="347">
        <item x="36"/>
        <item x="66"/>
        <item x="319"/>
        <item x="40"/>
        <item x="244"/>
        <item x="148"/>
        <item x="218"/>
        <item x="124"/>
        <item x="194"/>
        <item x="259"/>
        <item x="11"/>
        <item x="182"/>
        <item x="314"/>
        <item x="60"/>
        <item x="311"/>
        <item x="223"/>
        <item x="337"/>
        <item x="305"/>
        <item x="276"/>
        <item x="189"/>
        <item x="119"/>
        <item x="139"/>
        <item x="142"/>
        <item x="213"/>
        <item x="345"/>
        <item x="231"/>
        <item x="248"/>
        <item x="343"/>
        <item x="247"/>
        <item x="261"/>
        <item x="8"/>
        <item x="233"/>
        <item x="306"/>
        <item x="265"/>
        <item x="316"/>
        <item x="20"/>
        <item x="232"/>
        <item x="103"/>
        <item x="15"/>
        <item x="125"/>
        <item x="63"/>
        <item x="68"/>
        <item x="192"/>
        <item x="154"/>
        <item x="179"/>
        <item x="336"/>
        <item x="13"/>
        <item x="263"/>
        <item x="80"/>
        <item x="198"/>
        <item x="220"/>
        <item x="50"/>
        <item x="158"/>
        <item x="164"/>
        <item x="217"/>
        <item x="61"/>
        <item x="328"/>
        <item x="262"/>
        <item x="131"/>
        <item x="77"/>
        <item x="10"/>
        <item x="27"/>
        <item x="252"/>
        <item x="25"/>
        <item x="239"/>
        <item x="335"/>
        <item x="249"/>
        <item x="112"/>
        <item x="104"/>
        <item x="14"/>
        <item x="264"/>
        <item x="280"/>
        <item x="303"/>
        <item x="269"/>
        <item x="203"/>
        <item x="62"/>
        <item x="294"/>
        <item x="285"/>
        <item x="31"/>
        <item x="108"/>
        <item x="226"/>
        <item x="93"/>
        <item x="260"/>
        <item x="59"/>
        <item x="313"/>
        <item x="293"/>
        <item x="147"/>
        <item x="92"/>
        <item x="120"/>
        <item x="241"/>
        <item x="284"/>
        <item x="145"/>
        <item x="174"/>
        <item x="52"/>
        <item x="288"/>
        <item x="2"/>
        <item x="190"/>
        <item x="167"/>
        <item x="310"/>
        <item x="188"/>
        <item x="82"/>
        <item x="267"/>
        <item x="99"/>
        <item x="235"/>
        <item x="102"/>
        <item x="237"/>
        <item x="195"/>
        <item x="76"/>
        <item x="85"/>
        <item x="113"/>
        <item x="12"/>
        <item x="133"/>
        <item x="246"/>
        <item x="224"/>
        <item x="37"/>
        <item x="338"/>
        <item x="161"/>
        <item x="256"/>
        <item x="32"/>
        <item x="240"/>
        <item x="54"/>
        <item x="300"/>
        <item x="176"/>
        <item x="175"/>
        <item x="110"/>
        <item x="170"/>
        <item x="291"/>
        <item x="271"/>
        <item x="211"/>
        <item x="42"/>
        <item x="19"/>
        <item x="340"/>
        <item x="94"/>
        <item x="281"/>
        <item x="33"/>
        <item x="78"/>
        <item x="69"/>
        <item x="205"/>
        <item x="242"/>
        <item x="6"/>
        <item x="64"/>
        <item x="296"/>
        <item x="89"/>
        <item x="212"/>
        <item x="17"/>
        <item x="56"/>
        <item x="150"/>
        <item x="270"/>
        <item x="196"/>
        <item x="90"/>
        <item x="30"/>
        <item x="70"/>
        <item x="245"/>
        <item x="100"/>
        <item x="163"/>
        <item x="298"/>
        <item x="24"/>
        <item x="135"/>
        <item x="22"/>
        <item x="272"/>
        <item x="41"/>
        <item x="320"/>
        <item x="251"/>
        <item x="55"/>
        <item x="136"/>
        <item x="312"/>
        <item x="34"/>
        <item x="327"/>
        <item x="144"/>
        <item x="95"/>
        <item x="26"/>
        <item x="128"/>
        <item x="287"/>
        <item x="301"/>
        <item x="193"/>
        <item x="109"/>
        <item x="44"/>
        <item x="172"/>
        <item x="250"/>
        <item x="225"/>
        <item x="331"/>
        <item x="184"/>
        <item x="173"/>
        <item x="255"/>
        <item x="258"/>
        <item x="121"/>
        <item x="339"/>
        <item x="153"/>
        <item x="23"/>
        <item x="67"/>
        <item x="106"/>
        <item x="222"/>
        <item x="326"/>
        <item x="299"/>
        <item x="53"/>
        <item x="140"/>
        <item x="186"/>
        <item x="156"/>
        <item x="51"/>
        <item x="146"/>
        <item x="88"/>
        <item x="187"/>
        <item x="65"/>
        <item x="307"/>
        <item x="168"/>
        <item x="45"/>
        <item x="96"/>
        <item x="0"/>
        <item x="105"/>
        <item x="321"/>
        <item x="181"/>
        <item x="266"/>
        <item x="162"/>
        <item x="118"/>
        <item x="210"/>
        <item x="234"/>
        <item x="91"/>
        <item x="289"/>
        <item x="79"/>
        <item x="283"/>
        <item x="122"/>
        <item x="228"/>
        <item x="273"/>
        <item x="149"/>
        <item x="29"/>
        <item x="107"/>
        <item x="342"/>
        <item x="49"/>
        <item x="157"/>
        <item x="185"/>
        <item x="98"/>
        <item x="39"/>
        <item x="216"/>
        <item x="315"/>
        <item x="215"/>
        <item x="318"/>
        <item x="229"/>
        <item x="152"/>
        <item x="28"/>
        <item x="129"/>
        <item x="169"/>
        <item x="324"/>
        <item x="323"/>
        <item x="5"/>
        <item x="334"/>
        <item x="151"/>
        <item x="257"/>
        <item x="35"/>
        <item x="75"/>
        <item x="114"/>
        <item x="302"/>
        <item x="46"/>
        <item x="277"/>
        <item x="207"/>
        <item x="155"/>
        <item x="279"/>
        <item x="177"/>
        <item x="206"/>
        <item x="317"/>
        <item x="73"/>
        <item x="3"/>
        <item x="201"/>
        <item x="202"/>
        <item x="47"/>
        <item x="308"/>
        <item x="171"/>
        <item x="159"/>
        <item x="183"/>
        <item x="275"/>
        <item x="304"/>
        <item x="278"/>
        <item x="330"/>
        <item x="126"/>
        <item x="48"/>
        <item x="81"/>
        <item x="21"/>
        <item x="208"/>
        <item x="236"/>
        <item x="268"/>
        <item x="43"/>
        <item x="132"/>
        <item x="214"/>
        <item x="322"/>
        <item x="141"/>
        <item x="74"/>
        <item x="138"/>
        <item x="329"/>
        <item x="87"/>
        <item x="209"/>
        <item x="254"/>
        <item x="72"/>
        <item x="180"/>
        <item x="191"/>
        <item x="325"/>
        <item x="38"/>
        <item x="274"/>
        <item x="253"/>
        <item x="1"/>
        <item x="143"/>
        <item x="130"/>
        <item x="58"/>
        <item x="97"/>
        <item x="290"/>
        <item x="160"/>
        <item x="4"/>
        <item x="166"/>
        <item x="286"/>
        <item x="230"/>
        <item x="123"/>
        <item x="116"/>
        <item x="57"/>
        <item x="332"/>
        <item x="344"/>
        <item x="127"/>
        <item x="16"/>
        <item x="238"/>
        <item x="219"/>
        <item x="200"/>
        <item x="111"/>
        <item x="83"/>
        <item x="333"/>
        <item x="134"/>
        <item x="101"/>
        <item x="292"/>
        <item x="297"/>
        <item x="7"/>
        <item x="243"/>
        <item x="282"/>
        <item x="18"/>
        <item x="199"/>
        <item x="137"/>
        <item x="227"/>
        <item x="309"/>
        <item x="117"/>
        <item x="84"/>
        <item x="221"/>
        <item x="165"/>
        <item x="178"/>
        <item x="86"/>
        <item x="115"/>
        <item x="341"/>
        <item x="295"/>
        <item x="204"/>
        <item x="197"/>
        <item x="9"/>
        <item x="7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Price (INR)" fld="3" baseField="0" baseItem="0" numFmtId="164"/>
  </dataFields>
  <formats count="15">
    <format dxfId="756">
      <pivotArea outline="0" collapsedLevelsAreSubtotals="1" fieldPosition="0"/>
    </format>
    <format dxfId="755">
      <pivotArea dataOnly="0" labelOnly="1" fieldPosition="0">
        <references count="1">
          <reference field="1" count="0"/>
        </references>
      </pivotArea>
    </format>
    <format dxfId="754">
      <pivotArea dataOnly="0" labelOnly="1" grandRow="1" outline="0" fieldPosition="0"/>
    </format>
    <format dxfId="753">
      <pivotArea type="all" dataOnly="0" outline="0" fieldPosition="0"/>
    </format>
    <format dxfId="752">
      <pivotArea outline="0" collapsedLevelsAreSubtotals="1" fieldPosition="0"/>
    </format>
    <format dxfId="751">
      <pivotArea field="1" type="button" dataOnly="0" labelOnly="1" outline="0" axis="axisRow" fieldPosition="0"/>
    </format>
    <format dxfId="750">
      <pivotArea dataOnly="0" labelOnly="1" fieldPosition="0">
        <references count="1">
          <reference field="1" count="0"/>
        </references>
      </pivotArea>
    </format>
    <format dxfId="749">
      <pivotArea dataOnly="0" labelOnly="1" grandRow="1" outline="0" fieldPosition="0"/>
    </format>
    <format dxfId="748">
      <pivotArea dataOnly="0" labelOnly="1" outline="0" axis="axisValues" fieldPosition="0"/>
    </format>
    <format dxfId="747">
      <pivotArea type="all" dataOnly="0" outline="0" fieldPosition="0"/>
    </format>
    <format dxfId="746">
      <pivotArea outline="0" collapsedLevelsAreSubtotals="1" fieldPosition="0"/>
    </format>
    <format dxfId="745">
      <pivotArea field="1" type="button" dataOnly="0" labelOnly="1" outline="0" axis="axisRow" fieldPosition="0"/>
    </format>
    <format dxfId="744">
      <pivotArea dataOnly="0" labelOnly="1" fieldPosition="0">
        <references count="1">
          <reference field="1" count="0"/>
        </references>
      </pivotArea>
    </format>
    <format dxfId="743">
      <pivotArea dataOnly="0" labelOnly="1" grandRow="1" outline="0" fieldPosition="0"/>
    </format>
    <format dxfId="742">
      <pivotArea dataOnly="0" labelOnly="1" outline="0" axis="axisValues" fieldPosition="0"/>
    </format>
  </formats>
  <chartFormats count="2">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F2DBE9-8435-47F6-8015-62E36BB85A8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E9" firstHeaderRow="1" firstDataRow="1" firstDataCol="1"/>
  <pivotFields count="12">
    <pivotField showAll="0"/>
    <pivotField showAll="0"/>
    <pivotField axis="axisRow" showAll="0">
      <items count="6">
        <item x="2"/>
        <item x="0"/>
        <item x="1"/>
        <item x="3"/>
        <item x="4"/>
        <item t="default"/>
      </items>
    </pivotField>
    <pivotField dataField="1" showAll="0"/>
    <pivotField showAll="0"/>
    <pivotField showAll="0"/>
    <pivotField numFmtId="14" showAll="0">
      <items count="347">
        <item x="36"/>
        <item x="66"/>
        <item x="319"/>
        <item x="40"/>
        <item x="244"/>
        <item x="148"/>
        <item x="218"/>
        <item x="124"/>
        <item x="194"/>
        <item x="259"/>
        <item x="11"/>
        <item x="182"/>
        <item x="314"/>
        <item x="60"/>
        <item x="311"/>
        <item x="223"/>
        <item x="337"/>
        <item x="305"/>
        <item x="276"/>
        <item x="189"/>
        <item x="119"/>
        <item x="139"/>
        <item x="142"/>
        <item x="213"/>
        <item x="345"/>
        <item x="231"/>
        <item x="248"/>
        <item x="343"/>
        <item x="247"/>
        <item x="261"/>
        <item x="8"/>
        <item x="233"/>
        <item x="306"/>
        <item x="265"/>
        <item x="316"/>
        <item x="20"/>
        <item x="232"/>
        <item x="103"/>
        <item x="15"/>
        <item x="125"/>
        <item x="63"/>
        <item x="68"/>
        <item x="192"/>
        <item x="154"/>
        <item x="179"/>
        <item x="336"/>
        <item x="13"/>
        <item x="263"/>
        <item x="80"/>
        <item x="198"/>
        <item x="220"/>
        <item x="50"/>
        <item x="158"/>
        <item x="164"/>
        <item x="217"/>
        <item x="61"/>
        <item x="328"/>
        <item x="262"/>
        <item x="131"/>
        <item x="77"/>
        <item x="10"/>
        <item x="27"/>
        <item x="252"/>
        <item x="25"/>
        <item x="239"/>
        <item x="335"/>
        <item x="249"/>
        <item x="112"/>
        <item x="104"/>
        <item x="14"/>
        <item x="264"/>
        <item x="280"/>
        <item x="303"/>
        <item x="269"/>
        <item x="203"/>
        <item x="62"/>
        <item x="294"/>
        <item x="285"/>
        <item x="31"/>
        <item x="108"/>
        <item x="226"/>
        <item x="93"/>
        <item x="260"/>
        <item x="59"/>
        <item x="313"/>
        <item x="293"/>
        <item x="147"/>
        <item x="92"/>
        <item x="120"/>
        <item x="241"/>
        <item x="284"/>
        <item x="145"/>
        <item x="174"/>
        <item x="52"/>
        <item x="288"/>
        <item x="2"/>
        <item x="190"/>
        <item x="167"/>
        <item x="310"/>
        <item x="188"/>
        <item x="82"/>
        <item x="267"/>
        <item x="99"/>
        <item x="235"/>
        <item x="102"/>
        <item x="237"/>
        <item x="195"/>
        <item x="76"/>
        <item x="85"/>
        <item x="113"/>
        <item x="12"/>
        <item x="133"/>
        <item x="246"/>
        <item x="224"/>
        <item x="37"/>
        <item x="338"/>
        <item x="161"/>
        <item x="256"/>
        <item x="32"/>
        <item x="240"/>
        <item x="54"/>
        <item x="300"/>
        <item x="176"/>
        <item x="175"/>
        <item x="110"/>
        <item x="170"/>
        <item x="291"/>
        <item x="271"/>
        <item x="211"/>
        <item x="42"/>
        <item x="19"/>
        <item x="340"/>
        <item x="94"/>
        <item x="281"/>
        <item x="33"/>
        <item x="78"/>
        <item x="69"/>
        <item x="205"/>
        <item x="242"/>
        <item x="6"/>
        <item x="64"/>
        <item x="296"/>
        <item x="89"/>
        <item x="212"/>
        <item x="17"/>
        <item x="56"/>
        <item x="150"/>
        <item x="270"/>
        <item x="196"/>
        <item x="90"/>
        <item x="30"/>
        <item x="70"/>
        <item x="245"/>
        <item x="100"/>
        <item x="163"/>
        <item x="298"/>
        <item x="24"/>
        <item x="135"/>
        <item x="22"/>
        <item x="272"/>
        <item x="41"/>
        <item x="320"/>
        <item x="251"/>
        <item x="55"/>
        <item x="136"/>
        <item x="312"/>
        <item x="34"/>
        <item x="327"/>
        <item x="144"/>
        <item x="95"/>
        <item x="26"/>
        <item x="128"/>
        <item x="287"/>
        <item x="301"/>
        <item x="193"/>
        <item x="109"/>
        <item x="44"/>
        <item x="172"/>
        <item x="250"/>
        <item x="225"/>
        <item x="331"/>
        <item x="184"/>
        <item x="173"/>
        <item x="255"/>
        <item x="258"/>
        <item x="121"/>
        <item x="339"/>
        <item x="153"/>
        <item x="23"/>
        <item x="67"/>
        <item x="106"/>
        <item x="222"/>
        <item x="326"/>
        <item x="299"/>
        <item x="53"/>
        <item x="140"/>
        <item x="186"/>
        <item x="156"/>
        <item x="51"/>
        <item x="146"/>
        <item x="88"/>
        <item x="187"/>
        <item x="65"/>
        <item x="307"/>
        <item x="168"/>
        <item x="45"/>
        <item x="96"/>
        <item x="0"/>
        <item x="105"/>
        <item x="321"/>
        <item x="181"/>
        <item x="266"/>
        <item x="162"/>
        <item x="118"/>
        <item x="210"/>
        <item x="234"/>
        <item x="91"/>
        <item x="289"/>
        <item x="79"/>
        <item x="283"/>
        <item x="122"/>
        <item x="228"/>
        <item x="273"/>
        <item x="149"/>
        <item x="29"/>
        <item x="107"/>
        <item x="342"/>
        <item x="49"/>
        <item x="157"/>
        <item x="185"/>
        <item x="98"/>
        <item x="39"/>
        <item x="216"/>
        <item x="315"/>
        <item x="215"/>
        <item x="318"/>
        <item x="229"/>
        <item x="152"/>
        <item x="28"/>
        <item x="129"/>
        <item x="169"/>
        <item x="324"/>
        <item x="323"/>
        <item x="5"/>
        <item x="334"/>
        <item x="151"/>
        <item x="257"/>
        <item x="35"/>
        <item x="75"/>
        <item x="114"/>
        <item x="302"/>
        <item x="46"/>
        <item x="277"/>
        <item x="207"/>
        <item x="155"/>
        <item x="279"/>
        <item x="177"/>
        <item x="206"/>
        <item x="317"/>
        <item x="73"/>
        <item x="3"/>
        <item x="201"/>
        <item x="202"/>
        <item x="47"/>
        <item x="308"/>
        <item x="171"/>
        <item x="159"/>
        <item x="183"/>
        <item x="275"/>
        <item x="304"/>
        <item x="278"/>
        <item x="330"/>
        <item x="126"/>
        <item x="48"/>
        <item x="81"/>
        <item x="21"/>
        <item x="208"/>
        <item x="236"/>
        <item x="268"/>
        <item x="43"/>
        <item x="132"/>
        <item x="214"/>
        <item x="322"/>
        <item x="141"/>
        <item x="74"/>
        <item x="138"/>
        <item x="329"/>
        <item x="87"/>
        <item x="209"/>
        <item x="254"/>
        <item x="72"/>
        <item x="180"/>
        <item x="191"/>
        <item x="325"/>
        <item x="38"/>
        <item x="274"/>
        <item x="253"/>
        <item x="1"/>
        <item x="143"/>
        <item x="130"/>
        <item x="58"/>
        <item x="97"/>
        <item x="290"/>
        <item x="160"/>
        <item x="4"/>
        <item x="166"/>
        <item x="286"/>
        <item x="230"/>
        <item x="123"/>
        <item x="116"/>
        <item x="57"/>
        <item x="332"/>
        <item x="344"/>
        <item x="127"/>
        <item x="16"/>
        <item x="238"/>
        <item x="219"/>
        <item x="200"/>
        <item x="111"/>
        <item x="83"/>
        <item x="333"/>
        <item x="134"/>
        <item x="101"/>
        <item x="292"/>
        <item x="297"/>
        <item x="7"/>
        <item x="243"/>
        <item x="282"/>
        <item x="18"/>
        <item x="199"/>
        <item x="137"/>
        <item x="227"/>
        <item x="309"/>
        <item x="117"/>
        <item x="84"/>
        <item x="221"/>
        <item x="165"/>
        <item x="178"/>
        <item x="86"/>
        <item x="115"/>
        <item x="341"/>
        <item x="295"/>
        <item x="204"/>
        <item x="197"/>
        <item x="9"/>
        <item x="71"/>
        <item t="default"/>
      </items>
    </pivotField>
    <pivotField showAll="0">
      <items count="7">
        <item x="3"/>
        <item x="4"/>
        <item x="0"/>
        <item x="5"/>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Sum of Price (INR)" fld="3" baseField="0" baseItem="0"/>
  </dataFields>
  <formats count="14">
    <format dxfId="770">
      <pivotArea collapsedLevelsAreSubtotals="1" fieldPosition="0">
        <references count="1">
          <reference field="2" count="0"/>
        </references>
      </pivotArea>
    </format>
    <format dxfId="769">
      <pivotArea dataOnly="0" labelOnly="1" fieldPosition="0">
        <references count="1">
          <reference field="2" count="0"/>
        </references>
      </pivotArea>
    </format>
    <format dxfId="768">
      <pivotArea type="all" dataOnly="0" outline="0" fieldPosition="0"/>
    </format>
    <format dxfId="767">
      <pivotArea outline="0" collapsedLevelsAreSubtotals="1" fieldPosition="0"/>
    </format>
    <format dxfId="766">
      <pivotArea field="2" type="button" dataOnly="0" labelOnly="1" outline="0" axis="axisRow" fieldPosition="0"/>
    </format>
    <format dxfId="765">
      <pivotArea dataOnly="0" labelOnly="1" fieldPosition="0">
        <references count="1">
          <reference field="2" count="0"/>
        </references>
      </pivotArea>
    </format>
    <format dxfId="764">
      <pivotArea dataOnly="0" labelOnly="1" grandRow="1" outline="0" fieldPosition="0"/>
    </format>
    <format dxfId="763">
      <pivotArea dataOnly="0" labelOnly="1" outline="0" axis="axisValues" fieldPosition="0"/>
    </format>
    <format dxfId="762">
      <pivotArea type="all" dataOnly="0" outline="0" fieldPosition="0"/>
    </format>
    <format dxfId="761">
      <pivotArea outline="0" collapsedLevelsAreSubtotals="1" fieldPosition="0"/>
    </format>
    <format dxfId="760">
      <pivotArea field="2" type="button" dataOnly="0" labelOnly="1" outline="0" axis="axisRow" fieldPosition="0"/>
    </format>
    <format dxfId="759">
      <pivotArea dataOnly="0" labelOnly="1" fieldPosition="0">
        <references count="1">
          <reference field="2" count="0"/>
        </references>
      </pivotArea>
    </format>
    <format dxfId="758">
      <pivotArea dataOnly="0" labelOnly="1" grandRow="1" outline="0" fieldPosition="0"/>
    </format>
    <format dxfId="75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A4611C-25A4-4168-9D12-5E0240BF40D4}" name="PivotTable10" cacheId="0"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location ref="A3:A4" firstHeaderRow="1" firstDataRow="1" firstDataCol="0"/>
  <pivotFields count="12">
    <pivotField showAll="0"/>
    <pivotField showAll="0"/>
    <pivotField showAll="0"/>
    <pivotField showAll="0"/>
    <pivotField showAll="0"/>
    <pivotField dataField="1" showAll="0"/>
    <pivotField numFmtId="14" showAll="0">
      <items count="347">
        <item x="36"/>
        <item x="66"/>
        <item x="319"/>
        <item x="40"/>
        <item x="244"/>
        <item x="148"/>
        <item x="218"/>
        <item x="124"/>
        <item x="194"/>
        <item x="259"/>
        <item x="11"/>
        <item x="182"/>
        <item x="314"/>
        <item x="60"/>
        <item x="311"/>
        <item x="223"/>
        <item x="337"/>
        <item x="305"/>
        <item x="276"/>
        <item x="189"/>
        <item x="119"/>
        <item x="139"/>
        <item x="142"/>
        <item x="213"/>
        <item x="345"/>
        <item x="231"/>
        <item x="248"/>
        <item x="343"/>
        <item x="247"/>
        <item x="261"/>
        <item x="8"/>
        <item x="233"/>
        <item x="306"/>
        <item x="265"/>
        <item x="316"/>
        <item x="20"/>
        <item x="232"/>
        <item x="103"/>
        <item x="15"/>
        <item x="125"/>
        <item x="63"/>
        <item x="68"/>
        <item x="192"/>
        <item x="154"/>
        <item x="179"/>
        <item x="336"/>
        <item x="13"/>
        <item x="263"/>
        <item x="80"/>
        <item x="198"/>
        <item x="220"/>
        <item x="50"/>
        <item x="158"/>
        <item x="164"/>
        <item x="217"/>
        <item x="61"/>
        <item x="328"/>
        <item x="262"/>
        <item x="131"/>
        <item x="77"/>
        <item x="10"/>
        <item x="27"/>
        <item x="252"/>
        <item x="25"/>
        <item x="239"/>
        <item x="335"/>
        <item x="249"/>
        <item x="112"/>
        <item x="104"/>
        <item x="14"/>
        <item x="264"/>
        <item x="280"/>
        <item x="303"/>
        <item x="269"/>
        <item x="203"/>
        <item x="62"/>
        <item x="294"/>
        <item x="285"/>
        <item x="31"/>
        <item x="108"/>
        <item x="226"/>
        <item x="93"/>
        <item x="260"/>
        <item x="59"/>
        <item x="313"/>
        <item x="293"/>
        <item x="147"/>
        <item x="92"/>
        <item x="120"/>
        <item x="241"/>
        <item x="284"/>
        <item x="145"/>
        <item x="174"/>
        <item x="52"/>
        <item x="288"/>
        <item x="2"/>
        <item x="190"/>
        <item x="167"/>
        <item x="310"/>
        <item x="188"/>
        <item x="82"/>
        <item x="267"/>
        <item x="99"/>
        <item x="235"/>
        <item x="102"/>
        <item x="237"/>
        <item x="195"/>
        <item x="76"/>
        <item x="85"/>
        <item x="113"/>
        <item x="12"/>
        <item x="133"/>
        <item x="246"/>
        <item x="224"/>
        <item x="37"/>
        <item x="338"/>
        <item x="161"/>
        <item x="256"/>
        <item x="32"/>
        <item x="240"/>
        <item x="54"/>
        <item x="300"/>
        <item x="176"/>
        <item x="175"/>
        <item x="110"/>
        <item x="170"/>
        <item x="291"/>
        <item x="271"/>
        <item x="211"/>
        <item x="42"/>
        <item x="19"/>
        <item x="340"/>
        <item x="94"/>
        <item x="281"/>
        <item x="33"/>
        <item x="78"/>
        <item x="69"/>
        <item x="205"/>
        <item x="242"/>
        <item x="6"/>
        <item x="64"/>
        <item x="296"/>
        <item x="89"/>
        <item x="212"/>
        <item x="17"/>
        <item x="56"/>
        <item x="150"/>
        <item x="270"/>
        <item x="196"/>
        <item x="90"/>
        <item x="30"/>
        <item x="70"/>
        <item x="245"/>
        <item x="100"/>
        <item x="163"/>
        <item x="298"/>
        <item x="24"/>
        <item x="135"/>
        <item x="22"/>
        <item x="272"/>
        <item x="41"/>
        <item x="320"/>
        <item x="251"/>
        <item x="55"/>
        <item x="136"/>
        <item x="312"/>
        <item x="34"/>
        <item x="327"/>
        <item x="144"/>
        <item x="95"/>
        <item x="26"/>
        <item x="128"/>
        <item x="287"/>
        <item x="301"/>
        <item x="193"/>
        <item x="109"/>
        <item x="44"/>
        <item x="172"/>
        <item x="250"/>
        <item x="225"/>
        <item x="331"/>
        <item x="184"/>
        <item x="173"/>
        <item x="255"/>
        <item x="258"/>
        <item x="121"/>
        <item x="339"/>
        <item x="153"/>
        <item x="23"/>
        <item x="67"/>
        <item x="106"/>
        <item x="222"/>
        <item x="326"/>
        <item x="299"/>
        <item x="53"/>
        <item x="140"/>
        <item x="186"/>
        <item x="156"/>
        <item x="51"/>
        <item x="146"/>
        <item x="88"/>
        <item x="187"/>
        <item x="65"/>
        <item x="307"/>
        <item x="168"/>
        <item x="45"/>
        <item x="96"/>
        <item x="0"/>
        <item x="105"/>
        <item x="321"/>
        <item x="181"/>
        <item x="266"/>
        <item x="162"/>
        <item x="118"/>
        <item x="210"/>
        <item x="234"/>
        <item x="91"/>
        <item x="289"/>
        <item x="79"/>
        <item x="283"/>
        <item x="122"/>
        <item x="228"/>
        <item x="273"/>
        <item x="149"/>
        <item x="29"/>
        <item x="107"/>
        <item x="342"/>
        <item x="49"/>
        <item x="157"/>
        <item x="185"/>
        <item x="98"/>
        <item x="39"/>
        <item x="216"/>
        <item x="315"/>
        <item x="215"/>
        <item x="318"/>
        <item x="229"/>
        <item x="152"/>
        <item x="28"/>
        <item x="129"/>
        <item x="169"/>
        <item x="324"/>
        <item x="323"/>
        <item x="5"/>
        <item x="334"/>
        <item x="151"/>
        <item x="257"/>
        <item x="35"/>
        <item x="75"/>
        <item x="114"/>
        <item x="302"/>
        <item x="46"/>
        <item x="277"/>
        <item x="207"/>
        <item x="155"/>
        <item x="279"/>
        <item x="177"/>
        <item x="206"/>
        <item x="317"/>
        <item x="73"/>
        <item x="3"/>
        <item x="201"/>
        <item x="202"/>
        <item x="47"/>
        <item x="308"/>
        <item x="171"/>
        <item x="159"/>
        <item x="183"/>
        <item x="275"/>
        <item x="304"/>
        <item x="278"/>
        <item x="330"/>
        <item x="126"/>
        <item x="48"/>
        <item x="81"/>
        <item x="21"/>
        <item x="208"/>
        <item x="236"/>
        <item x="268"/>
        <item x="43"/>
        <item x="132"/>
        <item x="214"/>
        <item x="322"/>
        <item x="141"/>
        <item x="74"/>
        <item x="138"/>
        <item x="329"/>
        <item x="87"/>
        <item x="209"/>
        <item x="254"/>
        <item x="72"/>
        <item x="180"/>
        <item x="191"/>
        <item x="325"/>
        <item x="38"/>
        <item x="274"/>
        <item x="253"/>
        <item x="1"/>
        <item x="143"/>
        <item x="130"/>
        <item x="58"/>
        <item x="97"/>
        <item x="290"/>
        <item x="160"/>
        <item x="4"/>
        <item x="166"/>
        <item x="286"/>
        <item x="230"/>
        <item x="123"/>
        <item x="116"/>
        <item x="57"/>
        <item x="332"/>
        <item x="344"/>
        <item x="127"/>
        <item x="16"/>
        <item x="238"/>
        <item x="219"/>
        <item x="200"/>
        <item x="111"/>
        <item x="83"/>
        <item x="333"/>
        <item x="134"/>
        <item x="101"/>
        <item x="292"/>
        <item x="297"/>
        <item x="7"/>
        <item x="243"/>
        <item x="282"/>
        <item x="18"/>
        <item x="199"/>
        <item x="137"/>
        <item x="227"/>
        <item x="309"/>
        <item x="117"/>
        <item x="84"/>
        <item x="221"/>
        <item x="165"/>
        <item x="178"/>
        <item x="86"/>
        <item x="115"/>
        <item x="341"/>
        <item x="295"/>
        <item x="204"/>
        <item x="197"/>
        <item x="9"/>
        <item x="71"/>
        <item t="default"/>
      </items>
    </pivotField>
    <pivotField showAll="0">
      <items count="7">
        <item x="3"/>
        <item x="4"/>
        <item x="0"/>
        <item x="5"/>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 Sales (INR)" fld="5" baseField="0" baseItem="0"/>
  </dataFields>
  <formats count="6">
    <format dxfId="776">
      <pivotArea type="all" dataOnly="0" outline="0" fieldPosition="0"/>
    </format>
    <format dxfId="775">
      <pivotArea outline="0" collapsedLevelsAreSubtotals="1" fieldPosition="0"/>
    </format>
    <format dxfId="774">
      <pivotArea dataOnly="0" labelOnly="1" outline="0" axis="axisValues" fieldPosition="0"/>
    </format>
    <format dxfId="773">
      <pivotArea type="all" dataOnly="0" outline="0" fieldPosition="0"/>
    </format>
    <format dxfId="772">
      <pivotArea outline="0" collapsedLevelsAreSubtotals="1" fieldPosition="0"/>
    </format>
    <format dxfId="77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6AFFBA-139A-4D6E-A21C-75FDD5BB6AD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P3:S10" firstHeaderRow="1" firstDataRow="2" firstDataCol="1"/>
  <pivotFields count="12">
    <pivotField showAll="0"/>
    <pivotField showAll="0"/>
    <pivotField axis="axisRow" showAll="0">
      <items count="6">
        <item x="2"/>
        <item x="0"/>
        <item x="1"/>
        <item x="3"/>
        <item x="4"/>
        <item t="default"/>
      </items>
    </pivotField>
    <pivotField showAll="0"/>
    <pivotField dataField="1" showAll="0"/>
    <pivotField showAll="0"/>
    <pivotField numFmtId="14" showAll="0">
      <items count="347">
        <item x="36"/>
        <item x="66"/>
        <item x="319"/>
        <item x="40"/>
        <item x="244"/>
        <item x="148"/>
        <item x="218"/>
        <item x="124"/>
        <item x="194"/>
        <item x="259"/>
        <item x="11"/>
        <item x="182"/>
        <item x="314"/>
        <item x="60"/>
        <item x="311"/>
        <item x="223"/>
        <item x="337"/>
        <item x="305"/>
        <item x="276"/>
        <item x="189"/>
        <item x="119"/>
        <item x="139"/>
        <item x="142"/>
        <item x="213"/>
        <item x="345"/>
        <item x="231"/>
        <item x="248"/>
        <item x="343"/>
        <item x="247"/>
        <item x="261"/>
        <item x="8"/>
        <item x="233"/>
        <item x="306"/>
        <item x="265"/>
        <item x="316"/>
        <item x="20"/>
        <item x="232"/>
        <item x="103"/>
        <item x="15"/>
        <item x="125"/>
        <item x="63"/>
        <item x="68"/>
        <item x="192"/>
        <item x="154"/>
        <item x="179"/>
        <item x="336"/>
        <item x="13"/>
        <item x="263"/>
        <item x="80"/>
        <item x="198"/>
        <item x="220"/>
        <item x="50"/>
        <item x="158"/>
        <item x="164"/>
        <item x="217"/>
        <item x="61"/>
        <item x="328"/>
        <item x="262"/>
        <item x="131"/>
        <item x="77"/>
        <item x="10"/>
        <item x="27"/>
        <item x="252"/>
        <item x="25"/>
        <item x="239"/>
        <item x="335"/>
        <item x="249"/>
        <item x="112"/>
        <item x="104"/>
        <item x="14"/>
        <item x="264"/>
        <item x="280"/>
        <item x="303"/>
        <item x="269"/>
        <item x="203"/>
        <item x="62"/>
        <item x="294"/>
        <item x="285"/>
        <item x="31"/>
        <item x="108"/>
        <item x="226"/>
        <item x="93"/>
        <item x="260"/>
        <item x="59"/>
        <item x="313"/>
        <item x="293"/>
        <item x="147"/>
        <item x="92"/>
        <item x="120"/>
        <item x="241"/>
        <item x="284"/>
        <item x="145"/>
        <item x="174"/>
        <item x="52"/>
        <item x="288"/>
        <item x="2"/>
        <item x="190"/>
        <item x="167"/>
        <item x="310"/>
        <item x="188"/>
        <item x="82"/>
        <item x="267"/>
        <item x="99"/>
        <item x="235"/>
        <item x="102"/>
        <item x="237"/>
        <item x="195"/>
        <item x="76"/>
        <item x="85"/>
        <item x="113"/>
        <item x="12"/>
        <item x="133"/>
        <item x="246"/>
        <item x="224"/>
        <item x="37"/>
        <item x="338"/>
        <item x="161"/>
        <item x="256"/>
        <item x="32"/>
        <item x="240"/>
        <item x="54"/>
        <item x="300"/>
        <item x="176"/>
        <item x="175"/>
        <item x="110"/>
        <item x="170"/>
        <item x="291"/>
        <item x="271"/>
        <item x="211"/>
        <item x="42"/>
        <item x="19"/>
        <item x="340"/>
        <item x="94"/>
        <item x="281"/>
        <item x="33"/>
        <item x="78"/>
        <item x="69"/>
        <item x="205"/>
        <item x="242"/>
        <item x="6"/>
        <item x="64"/>
        <item x="296"/>
        <item x="89"/>
        <item x="212"/>
        <item x="17"/>
        <item x="56"/>
        <item x="150"/>
        <item x="270"/>
        <item x="196"/>
        <item x="90"/>
        <item x="30"/>
        <item x="70"/>
        <item x="245"/>
        <item x="100"/>
        <item x="163"/>
        <item x="298"/>
        <item x="24"/>
        <item x="135"/>
        <item x="22"/>
        <item x="272"/>
        <item x="41"/>
        <item x="320"/>
        <item x="251"/>
        <item x="55"/>
        <item x="136"/>
        <item x="312"/>
        <item x="34"/>
        <item x="327"/>
        <item x="144"/>
        <item x="95"/>
        <item x="26"/>
        <item x="128"/>
        <item x="287"/>
        <item x="301"/>
        <item x="193"/>
        <item x="109"/>
        <item x="44"/>
        <item x="172"/>
        <item x="250"/>
        <item x="225"/>
        <item x="331"/>
        <item x="184"/>
        <item x="173"/>
        <item x="255"/>
        <item x="258"/>
        <item x="121"/>
        <item x="339"/>
        <item x="153"/>
        <item x="23"/>
        <item x="67"/>
        <item x="106"/>
        <item x="222"/>
        <item x="326"/>
        <item x="299"/>
        <item x="53"/>
        <item x="140"/>
        <item x="186"/>
        <item x="156"/>
        <item x="51"/>
        <item x="146"/>
        <item x="88"/>
        <item x="187"/>
        <item x="65"/>
        <item x="307"/>
        <item x="168"/>
        <item x="45"/>
        <item x="96"/>
        <item x="0"/>
        <item x="105"/>
        <item x="321"/>
        <item x="181"/>
        <item x="266"/>
        <item x="162"/>
        <item x="118"/>
        <item x="210"/>
        <item x="234"/>
        <item x="91"/>
        <item x="289"/>
        <item x="79"/>
        <item x="283"/>
        <item x="122"/>
        <item x="228"/>
        <item x="273"/>
        <item x="149"/>
        <item x="29"/>
        <item x="107"/>
        <item x="342"/>
        <item x="49"/>
        <item x="157"/>
        <item x="185"/>
        <item x="98"/>
        <item x="39"/>
        <item x="216"/>
        <item x="315"/>
        <item x="215"/>
        <item x="318"/>
        <item x="229"/>
        <item x="152"/>
        <item x="28"/>
        <item x="129"/>
        <item x="169"/>
        <item x="324"/>
        <item x="323"/>
        <item x="5"/>
        <item x="334"/>
        <item x="151"/>
        <item x="257"/>
        <item x="35"/>
        <item x="75"/>
        <item x="114"/>
        <item x="302"/>
        <item x="46"/>
        <item x="277"/>
        <item x="207"/>
        <item x="155"/>
        <item x="279"/>
        <item x="177"/>
        <item x="206"/>
        <item x="317"/>
        <item x="73"/>
        <item x="3"/>
        <item x="201"/>
        <item x="202"/>
        <item x="47"/>
        <item x="308"/>
        <item x="171"/>
        <item x="159"/>
        <item x="183"/>
        <item x="275"/>
        <item x="304"/>
        <item x="278"/>
        <item x="330"/>
        <item x="126"/>
        <item x="48"/>
        <item x="81"/>
        <item x="21"/>
        <item x="208"/>
        <item x="236"/>
        <item x="268"/>
        <item x="43"/>
        <item x="132"/>
        <item x="214"/>
        <item x="322"/>
        <item x="141"/>
        <item x="74"/>
        <item x="138"/>
        <item x="329"/>
        <item x="87"/>
        <item x="209"/>
        <item x="254"/>
        <item x="72"/>
        <item x="180"/>
        <item x="191"/>
        <item x="325"/>
        <item x="38"/>
        <item x="274"/>
        <item x="253"/>
        <item x="1"/>
        <item x="143"/>
        <item x="130"/>
        <item x="58"/>
        <item x="97"/>
        <item x="290"/>
        <item x="160"/>
        <item x="4"/>
        <item x="166"/>
        <item x="286"/>
        <item x="230"/>
        <item x="123"/>
        <item x="116"/>
        <item x="57"/>
        <item x="332"/>
        <item x="344"/>
        <item x="127"/>
        <item x="16"/>
        <item x="238"/>
        <item x="219"/>
        <item x="200"/>
        <item x="111"/>
        <item x="83"/>
        <item x="333"/>
        <item x="134"/>
        <item x="101"/>
        <item x="292"/>
        <item x="297"/>
        <item x="7"/>
        <item x="243"/>
        <item x="282"/>
        <item x="18"/>
        <item x="199"/>
        <item x="137"/>
        <item x="227"/>
        <item x="309"/>
        <item x="117"/>
        <item x="84"/>
        <item x="221"/>
        <item x="165"/>
        <item x="178"/>
        <item x="86"/>
        <item x="115"/>
        <item x="341"/>
        <item x="295"/>
        <item x="204"/>
        <item x="197"/>
        <item x="9"/>
        <item x="71"/>
        <item t="default"/>
      </items>
    </pivotField>
    <pivotField showAll="0">
      <items count="7">
        <item x="3"/>
        <item x="4"/>
        <item x="0"/>
        <item x="5"/>
        <item x="1"/>
        <item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5">
        <item sd="0" x="0"/>
        <item sd="0" x="1"/>
        <item sd="0" x="2"/>
        <item sd="0" x="3"/>
        <item t="default"/>
      </items>
    </pivotField>
  </pivotFields>
  <rowFields count="1">
    <field x="2"/>
  </rowFields>
  <rowItems count="6">
    <i>
      <x/>
    </i>
    <i>
      <x v="1"/>
    </i>
    <i>
      <x v="2"/>
    </i>
    <i>
      <x v="3"/>
    </i>
    <i>
      <x v="4"/>
    </i>
    <i t="grand">
      <x/>
    </i>
  </rowItems>
  <colFields count="1">
    <field x="11"/>
  </colFields>
  <colItems count="3">
    <i>
      <x v="1"/>
    </i>
    <i>
      <x v="2"/>
    </i>
    <i t="grand">
      <x/>
    </i>
  </colItems>
  <dataFields count="1">
    <dataField name="Sum of Quantity Sold" fld="4" baseField="0" baseItem="0"/>
  </dataFields>
  <formats count="22">
    <format dxfId="798">
      <pivotArea outline="0" collapsedLevelsAreSubtotals="1" fieldPosition="0"/>
    </format>
    <format dxfId="797">
      <pivotArea dataOnly="0" labelOnly="1" grandRow="1" outline="0" fieldPosition="0"/>
    </format>
    <format dxfId="796">
      <pivotArea type="all" dataOnly="0" outline="0" fieldPosition="0"/>
    </format>
    <format dxfId="795">
      <pivotArea outline="0" collapsedLevelsAreSubtotals="1" fieldPosition="0"/>
    </format>
    <format dxfId="794">
      <pivotArea type="origin" dataOnly="0" labelOnly="1" outline="0" fieldPosition="0"/>
    </format>
    <format dxfId="793">
      <pivotArea field="11" type="button" dataOnly="0" labelOnly="1" outline="0" axis="axisCol" fieldPosition="0"/>
    </format>
    <format dxfId="792">
      <pivotArea type="topRight" dataOnly="0" labelOnly="1" outline="0" fieldPosition="0"/>
    </format>
    <format dxfId="791">
      <pivotArea field="2" type="button" dataOnly="0" labelOnly="1" outline="0" axis="axisRow" fieldPosition="0"/>
    </format>
    <format dxfId="790">
      <pivotArea dataOnly="0" labelOnly="1" fieldPosition="0">
        <references count="1">
          <reference field="2" count="0"/>
        </references>
      </pivotArea>
    </format>
    <format dxfId="789">
      <pivotArea dataOnly="0" labelOnly="1" grandRow="1" outline="0" fieldPosition="0"/>
    </format>
    <format dxfId="788">
      <pivotArea dataOnly="0" labelOnly="1" fieldPosition="0">
        <references count="1">
          <reference field="11" count="2">
            <x v="1"/>
            <x v="2"/>
          </reference>
        </references>
      </pivotArea>
    </format>
    <format dxfId="787">
      <pivotArea dataOnly="0" labelOnly="1" grandCol="1" outline="0" fieldPosition="0"/>
    </format>
    <format dxfId="786">
      <pivotArea type="all" dataOnly="0" outline="0" fieldPosition="0"/>
    </format>
    <format dxfId="785">
      <pivotArea outline="0" collapsedLevelsAreSubtotals="1" fieldPosition="0"/>
    </format>
    <format dxfId="784">
      <pivotArea type="origin" dataOnly="0" labelOnly="1" outline="0" fieldPosition="0"/>
    </format>
    <format dxfId="783">
      <pivotArea field="11" type="button" dataOnly="0" labelOnly="1" outline="0" axis="axisCol" fieldPosition="0"/>
    </format>
    <format dxfId="782">
      <pivotArea type="topRight" dataOnly="0" labelOnly="1" outline="0" fieldPosition="0"/>
    </format>
    <format dxfId="781">
      <pivotArea field="2" type="button" dataOnly="0" labelOnly="1" outline="0" axis="axisRow" fieldPosition="0"/>
    </format>
    <format dxfId="780">
      <pivotArea dataOnly="0" labelOnly="1" fieldPosition="0">
        <references count="1">
          <reference field="2" count="0"/>
        </references>
      </pivotArea>
    </format>
    <format dxfId="779">
      <pivotArea dataOnly="0" labelOnly="1" grandRow="1" outline="0" fieldPosition="0"/>
    </format>
    <format dxfId="778">
      <pivotArea dataOnly="0" labelOnly="1" fieldPosition="0">
        <references count="1">
          <reference field="11" count="2">
            <x v="1"/>
            <x v="2"/>
          </reference>
        </references>
      </pivotArea>
    </format>
    <format dxfId="777">
      <pivotArea dataOnly="0" labelOnly="1" grandCol="1" outline="0" fieldPosition="0"/>
    </format>
  </formats>
  <chartFormats count="23">
    <chartFormat chart="17" format="0" series="1">
      <pivotArea type="data" outline="0" fieldPosition="0">
        <references count="2">
          <reference field="4294967294" count="1" selected="0">
            <x v="0"/>
          </reference>
          <reference field="11" count="1" selected="0">
            <x v="1"/>
          </reference>
        </references>
      </pivotArea>
    </chartFormat>
    <chartFormat chart="17" format="1" series="1">
      <pivotArea type="data" outline="0" fieldPosition="0">
        <references count="2">
          <reference field="4294967294" count="1" selected="0">
            <x v="0"/>
          </reference>
          <reference field="11" count="1" selected="0">
            <x v="2"/>
          </reference>
        </references>
      </pivotArea>
    </chartFormat>
    <chartFormat chart="19" format="4" series="1">
      <pivotArea type="data" outline="0" fieldPosition="0">
        <references count="2">
          <reference field="4294967294" count="1" selected="0">
            <x v="0"/>
          </reference>
          <reference field="11" count="1" selected="0">
            <x v="1"/>
          </reference>
        </references>
      </pivotArea>
    </chartFormat>
    <chartFormat chart="19" format="5" series="1">
      <pivotArea type="data" outline="0" fieldPosition="0">
        <references count="2">
          <reference field="4294967294" count="1" selected="0">
            <x v="0"/>
          </reference>
          <reference field="11" count="1" selected="0">
            <x v="2"/>
          </reference>
        </references>
      </pivotArea>
    </chartFormat>
    <chartFormat chart="19" format="6">
      <pivotArea type="data" outline="0" fieldPosition="0">
        <references count="3">
          <reference field="4294967294" count="1" selected="0">
            <x v="0"/>
          </reference>
          <reference field="2" count="1" selected="0">
            <x v="3"/>
          </reference>
          <reference field="11" count="1" selected="0">
            <x v="2"/>
          </reference>
        </references>
      </pivotArea>
    </chartFormat>
    <chartFormat chart="19" format="7"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8" series="1">
      <pivotArea type="data" outline="0" fieldPosition="0">
        <references count="2">
          <reference field="4294967294" count="1" selected="0">
            <x v="0"/>
          </reference>
          <reference field="2" count="1" selected="0">
            <x v="2"/>
          </reference>
        </references>
      </pivotArea>
    </chartFormat>
    <chartFormat chart="19" format="9" series="1">
      <pivotArea type="data" outline="0" fieldPosition="0">
        <references count="2">
          <reference field="4294967294" count="1" selected="0">
            <x v="0"/>
          </reference>
          <reference field="2" count="1" selected="0">
            <x v="3"/>
          </reference>
        </references>
      </pivotArea>
    </chartFormat>
    <chartFormat chart="19" format="10" series="1">
      <pivotArea type="data" outline="0" fieldPosition="0">
        <references count="2">
          <reference field="4294967294" count="1" selected="0">
            <x v="0"/>
          </reference>
          <reference field="2" count="1" selected="0">
            <x v="4"/>
          </reference>
        </references>
      </pivotArea>
    </chartFormat>
    <chartFormat chart="17" format="3" series="1">
      <pivotArea type="data" outline="0" fieldPosition="0">
        <references count="2">
          <reference field="4294967294" count="1" selected="0">
            <x v="0"/>
          </reference>
          <reference field="2" count="1" selected="0">
            <x v="2"/>
          </reference>
        </references>
      </pivotArea>
    </chartFormat>
    <chartFormat chart="17" format="4" series="1">
      <pivotArea type="data" outline="0" fieldPosition="0">
        <references count="2">
          <reference field="4294967294" count="1" selected="0">
            <x v="0"/>
          </reference>
          <reference field="2" count="1" selected="0">
            <x v="3"/>
          </reference>
        </references>
      </pivotArea>
    </chartFormat>
    <chartFormat chart="17" format="5" series="1">
      <pivotArea type="data" outline="0" fieldPosition="0">
        <references count="2">
          <reference field="4294967294" count="1" selected="0">
            <x v="0"/>
          </reference>
          <reference field="2" count="1" selected="0">
            <x v="4"/>
          </reference>
        </references>
      </pivotArea>
    </chartFormat>
    <chartFormat chart="19" format="11" series="1">
      <pivotArea type="data" outline="0" fieldPosition="0">
        <references count="3">
          <reference field="4294967294" count="1" selected="0">
            <x v="0"/>
          </reference>
          <reference field="2" count="1" selected="0">
            <x v="2"/>
          </reference>
          <reference field="11" count="1" selected="0">
            <x v="2"/>
          </reference>
        </references>
      </pivotArea>
    </chartFormat>
    <chartFormat chart="19" format="12" series="1">
      <pivotArea type="data" outline="0" fieldPosition="0">
        <references count="3">
          <reference field="4294967294" count="1" selected="0">
            <x v="0"/>
          </reference>
          <reference field="2" count="1" selected="0">
            <x v="3"/>
          </reference>
          <reference field="11" count="1" selected="0">
            <x v="1"/>
          </reference>
        </references>
      </pivotArea>
    </chartFormat>
    <chartFormat chart="19" format="13" series="1">
      <pivotArea type="data" outline="0" fieldPosition="0">
        <references count="3">
          <reference field="4294967294" count="1" selected="0">
            <x v="0"/>
          </reference>
          <reference field="2" count="1" selected="0">
            <x v="3"/>
          </reference>
          <reference field="11" count="1" selected="0">
            <x v="2"/>
          </reference>
        </references>
      </pivotArea>
    </chartFormat>
    <chartFormat chart="19" format="14" series="1">
      <pivotArea type="data" outline="0" fieldPosition="0">
        <references count="3">
          <reference field="4294967294" count="1" selected="0">
            <x v="0"/>
          </reference>
          <reference field="2" count="1" selected="0">
            <x v="4"/>
          </reference>
          <reference field="11" count="1" selected="0">
            <x v="1"/>
          </reference>
        </references>
      </pivotArea>
    </chartFormat>
    <chartFormat chart="19" format="15" series="1">
      <pivotArea type="data" outline="0" fieldPosition="0">
        <references count="3">
          <reference field="4294967294" count="1" selected="0">
            <x v="0"/>
          </reference>
          <reference field="2" count="1" selected="0">
            <x v="4"/>
          </reference>
          <reference field="11" count="1" selected="0">
            <x v="2"/>
          </reference>
        </references>
      </pivotArea>
    </chartFormat>
    <chartFormat chart="17" format="6" series="1">
      <pivotArea type="data" outline="0" fieldPosition="0">
        <references count="3">
          <reference field="4294967294" count="1" selected="0">
            <x v="0"/>
          </reference>
          <reference field="2" count="1" selected="0">
            <x v="2"/>
          </reference>
          <reference field="11" count="1" selected="0">
            <x v="2"/>
          </reference>
        </references>
      </pivotArea>
    </chartFormat>
    <chartFormat chart="17" format="7" series="1">
      <pivotArea type="data" outline="0" fieldPosition="0">
        <references count="3">
          <reference field="4294967294" count="1" selected="0">
            <x v="0"/>
          </reference>
          <reference field="2" count="1" selected="0">
            <x v="3"/>
          </reference>
          <reference field="11" count="1" selected="0">
            <x v="1"/>
          </reference>
        </references>
      </pivotArea>
    </chartFormat>
    <chartFormat chart="17" format="8" series="1">
      <pivotArea type="data" outline="0" fieldPosition="0">
        <references count="3">
          <reference field="4294967294" count="1" selected="0">
            <x v="0"/>
          </reference>
          <reference field="2" count="1" selected="0">
            <x v="3"/>
          </reference>
          <reference field="11" count="1" selected="0">
            <x v="2"/>
          </reference>
        </references>
      </pivotArea>
    </chartFormat>
    <chartFormat chart="17" format="9" series="1">
      <pivotArea type="data" outline="0" fieldPosition="0">
        <references count="3">
          <reference field="4294967294" count="1" selected="0">
            <x v="0"/>
          </reference>
          <reference field="2" count="1" selected="0">
            <x v="4"/>
          </reference>
          <reference field="11" count="1" selected="0">
            <x v="1"/>
          </reference>
        </references>
      </pivotArea>
    </chartFormat>
    <chartFormat chart="17" format="10" series="1">
      <pivotArea type="data" outline="0" fieldPosition="0">
        <references count="3">
          <reference field="4294967294" count="1" selected="0">
            <x v="0"/>
          </reference>
          <reference field="2" count="1" selected="0">
            <x v="4"/>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8058D6-7DF3-464A-8065-F3E607F0731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2">
    <pivotField showAll="0"/>
    <pivotField showAll="0"/>
    <pivotField showAll="0"/>
    <pivotField showAll="0"/>
    <pivotField showAll="0"/>
    <pivotField showAll="0"/>
    <pivotField numFmtId="14" showAll="0">
      <items count="347">
        <item x="36"/>
        <item x="66"/>
        <item x="319"/>
        <item x="40"/>
        <item x="244"/>
        <item x="148"/>
        <item x="218"/>
        <item x="124"/>
        <item x="194"/>
        <item x="259"/>
        <item x="11"/>
        <item x="182"/>
        <item x="314"/>
        <item x="60"/>
        <item x="311"/>
        <item x="223"/>
        <item x="337"/>
        <item x="305"/>
        <item x="276"/>
        <item x="189"/>
        <item x="119"/>
        <item x="139"/>
        <item x="142"/>
        <item x="213"/>
        <item x="345"/>
        <item x="231"/>
        <item x="248"/>
        <item x="343"/>
        <item x="247"/>
        <item x="261"/>
        <item x="8"/>
        <item x="233"/>
        <item x="306"/>
        <item x="265"/>
        <item x="316"/>
        <item x="20"/>
        <item x="232"/>
        <item x="103"/>
        <item x="15"/>
        <item x="125"/>
        <item x="63"/>
        <item x="68"/>
        <item x="192"/>
        <item x="154"/>
        <item x="179"/>
        <item x="336"/>
        <item x="13"/>
        <item x="263"/>
        <item x="80"/>
        <item x="198"/>
        <item x="220"/>
        <item x="50"/>
        <item x="158"/>
        <item x="164"/>
        <item x="217"/>
        <item x="61"/>
        <item x="328"/>
        <item x="262"/>
        <item x="131"/>
        <item x="77"/>
        <item x="10"/>
        <item x="27"/>
        <item x="252"/>
        <item x="25"/>
        <item x="239"/>
        <item x="335"/>
        <item x="249"/>
        <item x="112"/>
        <item x="104"/>
        <item x="14"/>
        <item x="264"/>
        <item x="280"/>
        <item x="303"/>
        <item x="269"/>
        <item x="203"/>
        <item x="62"/>
        <item x="294"/>
        <item x="285"/>
        <item x="31"/>
        <item x="108"/>
        <item x="226"/>
        <item x="93"/>
        <item x="260"/>
        <item x="59"/>
        <item x="313"/>
        <item x="293"/>
        <item x="147"/>
        <item x="92"/>
        <item x="120"/>
        <item x="241"/>
        <item x="284"/>
        <item x="145"/>
        <item x="174"/>
        <item x="52"/>
        <item x="288"/>
        <item x="2"/>
        <item x="190"/>
        <item x="167"/>
        <item x="310"/>
        <item x="188"/>
        <item x="82"/>
        <item x="267"/>
        <item x="99"/>
        <item x="235"/>
        <item x="102"/>
        <item x="237"/>
        <item x="195"/>
        <item x="76"/>
        <item x="85"/>
        <item x="113"/>
        <item x="12"/>
        <item x="133"/>
        <item x="246"/>
        <item x="224"/>
        <item x="37"/>
        <item x="338"/>
        <item x="161"/>
        <item x="256"/>
        <item x="32"/>
        <item x="240"/>
        <item x="54"/>
        <item x="300"/>
        <item x="176"/>
        <item x="175"/>
        <item x="110"/>
        <item x="170"/>
        <item x="291"/>
        <item x="271"/>
        <item x="211"/>
        <item x="42"/>
        <item x="19"/>
        <item x="340"/>
        <item x="94"/>
        <item x="281"/>
        <item x="33"/>
        <item x="78"/>
        <item x="69"/>
        <item x="205"/>
        <item x="242"/>
        <item x="6"/>
        <item x="64"/>
        <item x="296"/>
        <item x="89"/>
        <item x="212"/>
        <item x="17"/>
        <item x="56"/>
        <item x="150"/>
        <item x="270"/>
        <item x="196"/>
        <item x="90"/>
        <item x="30"/>
        <item x="70"/>
        <item x="245"/>
        <item x="100"/>
        <item x="163"/>
        <item x="298"/>
        <item x="24"/>
        <item x="135"/>
        <item x="22"/>
        <item x="272"/>
        <item x="41"/>
        <item x="320"/>
        <item x="251"/>
        <item x="55"/>
        <item x="136"/>
        <item x="312"/>
        <item x="34"/>
        <item x="327"/>
        <item x="144"/>
        <item x="95"/>
        <item x="26"/>
        <item x="128"/>
        <item x="287"/>
        <item x="301"/>
        <item x="193"/>
        <item x="109"/>
        <item x="44"/>
        <item x="172"/>
        <item x="250"/>
        <item x="225"/>
        <item x="331"/>
        <item x="184"/>
        <item x="173"/>
        <item x="255"/>
        <item x="258"/>
        <item x="121"/>
        <item x="339"/>
        <item x="153"/>
        <item x="23"/>
        <item x="67"/>
        <item x="106"/>
        <item x="222"/>
        <item x="326"/>
        <item x="299"/>
        <item x="53"/>
        <item x="140"/>
        <item x="186"/>
        <item x="156"/>
        <item x="51"/>
        <item x="146"/>
        <item x="88"/>
        <item x="187"/>
        <item x="65"/>
        <item x="307"/>
        <item x="168"/>
        <item x="45"/>
        <item x="96"/>
        <item x="0"/>
        <item x="105"/>
        <item x="321"/>
        <item x="181"/>
        <item x="266"/>
        <item x="162"/>
        <item x="118"/>
        <item x="210"/>
        <item x="234"/>
        <item x="91"/>
        <item x="289"/>
        <item x="79"/>
        <item x="283"/>
        <item x="122"/>
        <item x="228"/>
        <item x="273"/>
        <item x="149"/>
        <item x="29"/>
        <item x="107"/>
        <item x="342"/>
        <item x="49"/>
        <item x="157"/>
        <item x="185"/>
        <item x="98"/>
        <item x="39"/>
        <item x="216"/>
        <item x="315"/>
        <item x="215"/>
        <item x="318"/>
        <item x="229"/>
        <item x="152"/>
        <item x="28"/>
        <item x="129"/>
        <item x="169"/>
        <item x="324"/>
        <item x="323"/>
        <item x="5"/>
        <item x="334"/>
        <item x="151"/>
        <item x="257"/>
        <item x="35"/>
        <item x="75"/>
        <item x="114"/>
        <item x="302"/>
        <item x="46"/>
        <item x="277"/>
        <item x="207"/>
        <item x="155"/>
        <item x="279"/>
        <item x="177"/>
        <item x="206"/>
        <item x="317"/>
        <item x="73"/>
        <item x="3"/>
        <item x="201"/>
        <item x="202"/>
        <item x="47"/>
        <item x="308"/>
        <item x="171"/>
        <item x="159"/>
        <item x="183"/>
        <item x="275"/>
        <item x="304"/>
        <item x="278"/>
        <item x="330"/>
        <item x="126"/>
        <item x="48"/>
        <item x="81"/>
        <item x="21"/>
        <item x="208"/>
        <item x="236"/>
        <item x="268"/>
        <item x="43"/>
        <item x="132"/>
        <item x="214"/>
        <item x="322"/>
        <item x="141"/>
        <item x="74"/>
        <item x="138"/>
        <item x="329"/>
        <item x="87"/>
        <item x="209"/>
        <item x="254"/>
        <item x="72"/>
        <item x="180"/>
        <item x="191"/>
        <item x="325"/>
        <item x="38"/>
        <item x="274"/>
        <item x="253"/>
        <item x="1"/>
        <item x="143"/>
        <item x="130"/>
        <item x="58"/>
        <item x="97"/>
        <item x="290"/>
        <item x="160"/>
        <item x="4"/>
        <item x="166"/>
        <item x="286"/>
        <item x="230"/>
        <item x="123"/>
        <item x="116"/>
        <item x="57"/>
        <item x="332"/>
        <item x="344"/>
        <item x="127"/>
        <item x="16"/>
        <item x="238"/>
        <item x="219"/>
        <item x="200"/>
        <item x="111"/>
        <item x="83"/>
        <item x="333"/>
        <item x="134"/>
        <item x="101"/>
        <item x="292"/>
        <item x="297"/>
        <item x="7"/>
        <item x="243"/>
        <item x="282"/>
        <item x="18"/>
        <item x="199"/>
        <item x="137"/>
        <item x="227"/>
        <item x="309"/>
        <item x="117"/>
        <item x="84"/>
        <item x="221"/>
        <item x="165"/>
        <item x="178"/>
        <item x="86"/>
        <item x="115"/>
        <item x="341"/>
        <item x="295"/>
        <item x="204"/>
        <item x="197"/>
        <item x="9"/>
        <item x="71"/>
        <item t="default"/>
      </items>
    </pivotField>
    <pivotField showAll="0">
      <items count="7">
        <item x="3"/>
        <item x="4"/>
        <item x="0"/>
        <item x="5"/>
        <item x="1"/>
        <item x="2"/>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Customer Rating" fld="8" subtotal="average" baseField="0" baseItem="0" numFmtId="43"/>
  </dataFields>
  <formats count="7">
    <format dxfId="805">
      <pivotArea outline="0" collapsedLevelsAreSubtotals="1" fieldPosition="0"/>
    </format>
    <format dxfId="804">
      <pivotArea type="all" dataOnly="0" outline="0" fieldPosition="0"/>
    </format>
    <format dxfId="803">
      <pivotArea outline="0" collapsedLevelsAreSubtotals="1" fieldPosition="0"/>
    </format>
    <format dxfId="802">
      <pivotArea dataOnly="0" labelOnly="1" outline="0" axis="axisValues" fieldPosition="0"/>
    </format>
    <format dxfId="801">
      <pivotArea type="all" dataOnly="0" outline="0" fieldPosition="0"/>
    </format>
    <format dxfId="800">
      <pivotArea outline="0" collapsedLevelsAreSubtotals="1" fieldPosition="0"/>
    </format>
    <format dxfId="79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5DCC57-9918-4B19-A4AC-284EF54EF9A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3:N6" firstHeaderRow="1" firstDataRow="1" firstDataCol="1"/>
  <pivotFields count="12">
    <pivotField showAll="0"/>
    <pivotField showAll="0"/>
    <pivotField showAll="0"/>
    <pivotField dataField="1" showAll="0"/>
    <pivotField showAll="0"/>
    <pivotField showAll="0"/>
    <pivotField numFmtId="14" showAll="0">
      <items count="347">
        <item x="36"/>
        <item x="66"/>
        <item x="319"/>
        <item x="40"/>
        <item x="244"/>
        <item x="148"/>
        <item x="218"/>
        <item x="124"/>
        <item x="194"/>
        <item x="259"/>
        <item x="11"/>
        <item x="182"/>
        <item x="314"/>
        <item x="60"/>
        <item x="311"/>
        <item x="223"/>
        <item x="337"/>
        <item x="305"/>
        <item x="276"/>
        <item x="189"/>
        <item x="119"/>
        <item x="139"/>
        <item x="142"/>
        <item x="213"/>
        <item x="345"/>
        <item x="231"/>
        <item x="248"/>
        <item x="343"/>
        <item x="247"/>
        <item x="261"/>
        <item x="8"/>
        <item x="233"/>
        <item x="306"/>
        <item x="265"/>
        <item x="316"/>
        <item x="20"/>
        <item x="232"/>
        <item x="103"/>
        <item x="15"/>
        <item x="125"/>
        <item x="63"/>
        <item x="68"/>
        <item x="192"/>
        <item x="154"/>
        <item x="179"/>
        <item x="336"/>
        <item x="13"/>
        <item x="263"/>
        <item x="80"/>
        <item x="198"/>
        <item x="220"/>
        <item x="50"/>
        <item x="158"/>
        <item x="164"/>
        <item x="217"/>
        <item x="61"/>
        <item x="328"/>
        <item x="262"/>
        <item x="131"/>
        <item x="77"/>
        <item x="10"/>
        <item x="27"/>
        <item x="252"/>
        <item x="25"/>
        <item x="239"/>
        <item x="335"/>
        <item x="249"/>
        <item x="112"/>
        <item x="104"/>
        <item x="14"/>
        <item x="264"/>
        <item x="280"/>
        <item x="303"/>
        <item x="269"/>
        <item x="203"/>
        <item x="62"/>
        <item x="294"/>
        <item x="285"/>
        <item x="31"/>
        <item x="108"/>
        <item x="226"/>
        <item x="93"/>
        <item x="260"/>
        <item x="59"/>
        <item x="313"/>
        <item x="293"/>
        <item x="147"/>
        <item x="92"/>
        <item x="120"/>
        <item x="241"/>
        <item x="284"/>
        <item x="145"/>
        <item x="174"/>
        <item x="52"/>
        <item x="288"/>
        <item x="2"/>
        <item x="190"/>
        <item x="167"/>
        <item x="310"/>
        <item x="188"/>
        <item x="82"/>
        <item x="267"/>
        <item x="99"/>
        <item x="235"/>
        <item x="102"/>
        <item x="237"/>
        <item x="195"/>
        <item x="76"/>
        <item x="85"/>
        <item x="113"/>
        <item x="12"/>
        <item x="133"/>
        <item x="246"/>
        <item x="224"/>
        <item x="37"/>
        <item x="338"/>
        <item x="161"/>
        <item x="256"/>
        <item x="32"/>
        <item x="240"/>
        <item x="54"/>
        <item x="300"/>
        <item x="176"/>
        <item x="175"/>
        <item x="110"/>
        <item x="170"/>
        <item x="291"/>
        <item x="271"/>
        <item x="211"/>
        <item x="42"/>
        <item x="19"/>
        <item x="340"/>
        <item x="94"/>
        <item x="281"/>
        <item x="33"/>
        <item x="78"/>
        <item x="69"/>
        <item x="205"/>
        <item x="242"/>
        <item x="6"/>
        <item x="64"/>
        <item x="296"/>
        <item x="89"/>
        <item x="212"/>
        <item x="17"/>
        <item x="56"/>
        <item x="150"/>
        <item x="270"/>
        <item x="196"/>
        <item x="90"/>
        <item x="30"/>
        <item x="70"/>
        <item x="245"/>
        <item x="100"/>
        <item x="163"/>
        <item x="298"/>
        <item x="24"/>
        <item x="135"/>
        <item x="22"/>
        <item x="272"/>
        <item x="41"/>
        <item x="320"/>
        <item x="251"/>
        <item x="55"/>
        <item x="136"/>
        <item x="312"/>
        <item x="34"/>
        <item x="327"/>
        <item x="144"/>
        <item x="95"/>
        <item x="26"/>
        <item x="128"/>
        <item x="287"/>
        <item x="301"/>
        <item x="193"/>
        <item x="109"/>
        <item x="44"/>
        <item x="172"/>
        <item x="250"/>
        <item x="225"/>
        <item x="331"/>
        <item x="184"/>
        <item x="173"/>
        <item x="255"/>
        <item x="258"/>
        <item x="121"/>
        <item x="339"/>
        <item x="153"/>
        <item x="23"/>
        <item x="67"/>
        <item x="106"/>
        <item x="222"/>
        <item x="326"/>
        <item x="299"/>
        <item x="53"/>
        <item x="140"/>
        <item x="186"/>
        <item x="156"/>
        <item x="51"/>
        <item x="146"/>
        <item x="88"/>
        <item x="187"/>
        <item x="65"/>
        <item x="307"/>
        <item x="168"/>
        <item x="45"/>
        <item x="96"/>
        <item x="0"/>
        <item x="105"/>
        <item x="321"/>
        <item x="181"/>
        <item x="266"/>
        <item x="162"/>
        <item x="118"/>
        <item x="210"/>
        <item x="234"/>
        <item x="91"/>
        <item x="289"/>
        <item x="79"/>
        <item x="283"/>
        <item x="122"/>
        <item x="228"/>
        <item x="273"/>
        <item x="149"/>
        <item x="29"/>
        <item x="107"/>
        <item x="342"/>
        <item x="49"/>
        <item x="157"/>
        <item x="185"/>
        <item x="98"/>
        <item x="39"/>
        <item x="216"/>
        <item x="315"/>
        <item x="215"/>
        <item x="318"/>
        <item x="229"/>
        <item x="152"/>
        <item x="28"/>
        <item x="129"/>
        <item x="169"/>
        <item x="324"/>
        <item x="323"/>
        <item x="5"/>
        <item x="334"/>
        <item x="151"/>
        <item x="257"/>
        <item x="35"/>
        <item x="75"/>
        <item x="114"/>
        <item x="302"/>
        <item x="46"/>
        <item x="277"/>
        <item x="207"/>
        <item x="155"/>
        <item x="279"/>
        <item x="177"/>
        <item x="206"/>
        <item x="317"/>
        <item x="73"/>
        <item x="3"/>
        <item x="201"/>
        <item x="202"/>
        <item x="47"/>
        <item x="308"/>
        <item x="171"/>
        <item x="159"/>
        <item x="183"/>
        <item x="275"/>
        <item x="304"/>
        <item x="278"/>
        <item x="330"/>
        <item x="126"/>
        <item x="48"/>
        <item x="81"/>
        <item x="21"/>
        <item x="208"/>
        <item x="236"/>
        <item x="268"/>
        <item x="43"/>
        <item x="132"/>
        <item x="214"/>
        <item x="322"/>
        <item x="141"/>
        <item x="74"/>
        <item x="138"/>
        <item x="329"/>
        <item x="87"/>
        <item x="209"/>
        <item x="254"/>
        <item x="72"/>
        <item x="180"/>
        <item x="191"/>
        <item x="325"/>
        <item x="38"/>
        <item x="274"/>
        <item x="253"/>
        <item x="1"/>
        <item x="143"/>
        <item x="130"/>
        <item x="58"/>
        <item x="97"/>
        <item x="290"/>
        <item x="160"/>
        <item x="4"/>
        <item x="166"/>
        <item x="286"/>
        <item x="230"/>
        <item x="123"/>
        <item x="116"/>
        <item x="57"/>
        <item x="332"/>
        <item x="344"/>
        <item x="127"/>
        <item x="16"/>
        <item x="238"/>
        <item x="219"/>
        <item x="200"/>
        <item x="111"/>
        <item x="83"/>
        <item x="333"/>
        <item x="134"/>
        <item x="101"/>
        <item x="292"/>
        <item x="297"/>
        <item x="7"/>
        <item x="243"/>
        <item x="282"/>
        <item x="18"/>
        <item x="199"/>
        <item x="137"/>
        <item x="227"/>
        <item x="309"/>
        <item x="117"/>
        <item x="84"/>
        <item x="221"/>
        <item x="165"/>
        <item x="178"/>
        <item x="86"/>
        <item x="115"/>
        <item x="341"/>
        <item x="295"/>
        <item x="204"/>
        <item x="197"/>
        <item x="9"/>
        <item x="71"/>
        <item t="default"/>
      </items>
    </pivotField>
    <pivotField showAll="0">
      <items count="7">
        <item x="3"/>
        <item x="4"/>
        <item x="0"/>
        <item x="5"/>
        <item x="1"/>
        <item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1">
    <field x="11"/>
  </rowFields>
  <rowItems count="3">
    <i>
      <x v="1"/>
    </i>
    <i>
      <x v="2"/>
    </i>
    <i t="grand">
      <x/>
    </i>
  </rowItems>
  <colItems count="1">
    <i/>
  </colItems>
  <dataFields count="1">
    <dataField name="Sum of Price (INR)" fld="3" baseField="0" baseItem="0" numFmtId="164"/>
  </dataFields>
  <formats count="15">
    <format dxfId="717">
      <pivotArea outline="0" collapsedLevelsAreSubtotals="1" fieldPosition="0"/>
    </format>
    <format dxfId="718">
      <pivotArea dataOnly="0" labelOnly="1" fieldPosition="0">
        <references count="1">
          <reference field="11" count="2">
            <x v="1"/>
            <x v="2"/>
          </reference>
        </references>
      </pivotArea>
    </format>
    <format dxfId="719">
      <pivotArea dataOnly="0" labelOnly="1" grandRow="1" outline="0" fieldPosition="0"/>
    </format>
    <format dxfId="720">
      <pivotArea type="all" dataOnly="0" outline="0" fieldPosition="0"/>
    </format>
    <format dxfId="721">
      <pivotArea outline="0" collapsedLevelsAreSubtotals="1" fieldPosition="0"/>
    </format>
    <format dxfId="722">
      <pivotArea field="11" type="button" dataOnly="0" labelOnly="1" outline="0" axis="axisRow" fieldPosition="0"/>
    </format>
    <format dxfId="723">
      <pivotArea dataOnly="0" labelOnly="1" fieldPosition="0">
        <references count="1">
          <reference field="11" count="2">
            <x v="1"/>
            <x v="2"/>
          </reference>
        </references>
      </pivotArea>
    </format>
    <format dxfId="724">
      <pivotArea dataOnly="0" labelOnly="1" grandRow="1" outline="0" fieldPosition="0"/>
    </format>
    <format dxfId="725">
      <pivotArea dataOnly="0" labelOnly="1" outline="0" axis="axisValues" fieldPosition="0"/>
    </format>
    <format dxfId="726">
      <pivotArea type="all" dataOnly="0" outline="0" fieldPosition="0"/>
    </format>
    <format dxfId="727">
      <pivotArea outline="0" collapsedLevelsAreSubtotals="1" fieldPosition="0"/>
    </format>
    <format dxfId="728">
      <pivotArea field="11" type="button" dataOnly="0" labelOnly="1" outline="0" axis="axisRow" fieldPosition="0"/>
    </format>
    <format dxfId="729">
      <pivotArea dataOnly="0" labelOnly="1" fieldPosition="0">
        <references count="1">
          <reference field="11" count="2">
            <x v="1"/>
            <x v="2"/>
          </reference>
        </references>
      </pivotArea>
    </format>
    <format dxfId="730">
      <pivotArea dataOnly="0" labelOnly="1" grandRow="1" outline="0" fieldPosition="0"/>
    </format>
    <format dxfId="731">
      <pivotArea dataOnly="0" labelOnly="1" outline="0" axis="axisValues" fieldPosition="0"/>
    </format>
  </formats>
  <chartFormats count="6">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1" count="1" selected="0">
            <x v="1"/>
          </reference>
        </references>
      </pivotArea>
    </chartFormat>
    <chartFormat chart="7" format="2">
      <pivotArea type="data" outline="0" fieldPosition="0">
        <references count="2">
          <reference field="4294967294" count="1" selected="0">
            <x v="0"/>
          </reference>
          <reference field="11"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1" count="1" selected="0">
            <x v="1"/>
          </reference>
        </references>
      </pivotArea>
    </chartFormat>
    <chartFormat chart="11"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F312B0-9028-411D-94BA-783BEE491C6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12">
    <pivotField showAll="0"/>
    <pivotField showAll="0"/>
    <pivotField showAll="0"/>
    <pivotField dataField="1" showAll="0"/>
    <pivotField showAll="0"/>
    <pivotField showAll="0"/>
    <pivotField numFmtId="14" showAll="0">
      <items count="347">
        <item x="36"/>
        <item x="66"/>
        <item x="319"/>
        <item x="40"/>
        <item x="244"/>
        <item x="148"/>
        <item x="218"/>
        <item x="124"/>
        <item x="194"/>
        <item x="259"/>
        <item x="11"/>
        <item x="182"/>
        <item x="314"/>
        <item x="60"/>
        <item x="311"/>
        <item x="223"/>
        <item x="337"/>
        <item x="305"/>
        <item x="276"/>
        <item x="189"/>
        <item x="119"/>
        <item x="139"/>
        <item x="142"/>
        <item x="213"/>
        <item x="345"/>
        <item x="231"/>
        <item x="248"/>
        <item x="343"/>
        <item x="247"/>
        <item x="261"/>
        <item x="8"/>
        <item x="233"/>
        <item x="306"/>
        <item x="265"/>
        <item x="316"/>
        <item x="20"/>
        <item x="232"/>
        <item x="103"/>
        <item x="15"/>
        <item x="125"/>
        <item x="63"/>
        <item x="68"/>
        <item x="192"/>
        <item x="154"/>
        <item x="179"/>
        <item x="336"/>
        <item x="13"/>
        <item x="263"/>
        <item x="80"/>
        <item x="198"/>
        <item x="220"/>
        <item x="50"/>
        <item x="158"/>
        <item x="164"/>
        <item x="217"/>
        <item x="61"/>
        <item x="328"/>
        <item x="262"/>
        <item x="131"/>
        <item x="77"/>
        <item x="10"/>
        <item x="27"/>
        <item x="252"/>
        <item x="25"/>
        <item x="239"/>
        <item x="335"/>
        <item x="249"/>
        <item x="112"/>
        <item x="104"/>
        <item x="14"/>
        <item x="264"/>
        <item x="280"/>
        <item x="303"/>
        <item x="269"/>
        <item x="203"/>
        <item x="62"/>
        <item x="294"/>
        <item x="285"/>
        <item x="31"/>
        <item x="108"/>
        <item x="226"/>
        <item x="93"/>
        <item x="260"/>
        <item x="59"/>
        <item x="313"/>
        <item x="293"/>
        <item x="147"/>
        <item x="92"/>
        <item x="120"/>
        <item x="241"/>
        <item x="284"/>
        <item x="145"/>
        <item x="174"/>
        <item x="52"/>
        <item x="288"/>
        <item x="2"/>
        <item x="190"/>
        <item x="167"/>
        <item x="310"/>
        <item x="188"/>
        <item x="82"/>
        <item x="267"/>
        <item x="99"/>
        <item x="235"/>
        <item x="102"/>
        <item x="237"/>
        <item x="195"/>
        <item x="76"/>
        <item x="85"/>
        <item x="113"/>
        <item x="12"/>
        <item x="133"/>
        <item x="246"/>
        <item x="224"/>
        <item x="37"/>
        <item x="338"/>
        <item x="161"/>
        <item x="256"/>
        <item x="32"/>
        <item x="240"/>
        <item x="54"/>
        <item x="300"/>
        <item x="176"/>
        <item x="175"/>
        <item x="110"/>
        <item x="170"/>
        <item x="291"/>
        <item x="271"/>
        <item x="211"/>
        <item x="42"/>
        <item x="19"/>
        <item x="340"/>
        <item x="94"/>
        <item x="281"/>
        <item x="33"/>
        <item x="78"/>
        <item x="69"/>
        <item x="205"/>
        <item x="242"/>
        <item x="6"/>
        <item x="64"/>
        <item x="296"/>
        <item x="89"/>
        <item x="212"/>
        <item x="17"/>
        <item x="56"/>
        <item x="150"/>
        <item x="270"/>
        <item x="196"/>
        <item x="90"/>
        <item x="30"/>
        <item x="70"/>
        <item x="245"/>
        <item x="100"/>
        <item x="163"/>
        <item x="298"/>
        <item x="24"/>
        <item x="135"/>
        <item x="22"/>
        <item x="272"/>
        <item x="41"/>
        <item x="320"/>
        <item x="251"/>
        <item x="55"/>
        <item x="136"/>
        <item x="312"/>
        <item x="34"/>
        <item x="327"/>
        <item x="144"/>
        <item x="95"/>
        <item x="26"/>
        <item x="128"/>
        <item x="287"/>
        <item x="301"/>
        <item x="193"/>
        <item x="109"/>
        <item x="44"/>
        <item x="172"/>
        <item x="250"/>
        <item x="225"/>
        <item x="331"/>
        <item x="184"/>
        <item x="173"/>
        <item x="255"/>
        <item x="258"/>
        <item x="121"/>
        <item x="339"/>
        <item x="153"/>
        <item x="23"/>
        <item x="67"/>
        <item x="106"/>
        <item x="222"/>
        <item x="326"/>
        <item x="299"/>
        <item x="53"/>
        <item x="140"/>
        <item x="186"/>
        <item x="156"/>
        <item x="51"/>
        <item x="146"/>
        <item x="88"/>
        <item x="187"/>
        <item x="65"/>
        <item x="307"/>
        <item x="168"/>
        <item x="45"/>
        <item x="96"/>
        <item x="0"/>
        <item x="105"/>
        <item x="321"/>
        <item x="181"/>
        <item x="266"/>
        <item x="162"/>
        <item x="118"/>
        <item x="210"/>
        <item x="234"/>
        <item x="91"/>
        <item x="289"/>
        <item x="79"/>
        <item x="283"/>
        <item x="122"/>
        <item x="228"/>
        <item x="273"/>
        <item x="149"/>
        <item x="29"/>
        <item x="107"/>
        <item x="342"/>
        <item x="49"/>
        <item x="157"/>
        <item x="185"/>
        <item x="98"/>
        <item x="39"/>
        <item x="216"/>
        <item x="315"/>
        <item x="215"/>
        <item x="318"/>
        <item x="229"/>
        <item x="152"/>
        <item x="28"/>
        <item x="129"/>
        <item x="169"/>
        <item x="324"/>
        <item x="323"/>
        <item x="5"/>
        <item x="334"/>
        <item x="151"/>
        <item x="257"/>
        <item x="35"/>
        <item x="75"/>
        <item x="114"/>
        <item x="302"/>
        <item x="46"/>
        <item x="277"/>
        <item x="207"/>
        <item x="155"/>
        <item x="279"/>
        <item x="177"/>
        <item x="206"/>
        <item x="317"/>
        <item x="73"/>
        <item x="3"/>
        <item x="201"/>
        <item x="202"/>
        <item x="47"/>
        <item x="308"/>
        <item x="171"/>
        <item x="159"/>
        <item x="183"/>
        <item x="275"/>
        <item x="304"/>
        <item x="278"/>
        <item x="330"/>
        <item x="126"/>
        <item x="48"/>
        <item x="81"/>
        <item x="21"/>
        <item x="208"/>
        <item x="236"/>
        <item x="268"/>
        <item x="43"/>
        <item x="132"/>
        <item x="214"/>
        <item x="322"/>
        <item x="141"/>
        <item x="74"/>
        <item x="138"/>
        <item x="329"/>
        <item x="87"/>
        <item x="209"/>
        <item x="254"/>
        <item x="72"/>
        <item x="180"/>
        <item x="191"/>
        <item x="325"/>
        <item x="38"/>
        <item x="274"/>
        <item x="253"/>
        <item x="1"/>
        <item x="143"/>
        <item x="130"/>
        <item x="58"/>
        <item x="97"/>
        <item x="290"/>
        <item x="160"/>
        <item x="4"/>
        <item x="166"/>
        <item x="286"/>
        <item x="230"/>
        <item x="123"/>
        <item x="116"/>
        <item x="57"/>
        <item x="332"/>
        <item x="344"/>
        <item x="127"/>
        <item x="16"/>
        <item x="238"/>
        <item x="219"/>
        <item x="200"/>
        <item x="111"/>
        <item x="83"/>
        <item x="333"/>
        <item x="134"/>
        <item x="101"/>
        <item x="292"/>
        <item x="297"/>
        <item x="7"/>
        <item x="243"/>
        <item x="282"/>
        <item x="18"/>
        <item x="199"/>
        <item x="137"/>
        <item x="227"/>
        <item x="309"/>
        <item x="117"/>
        <item x="84"/>
        <item x="221"/>
        <item x="165"/>
        <item x="178"/>
        <item x="86"/>
        <item x="115"/>
        <item x="341"/>
        <item x="295"/>
        <item x="204"/>
        <item x="197"/>
        <item x="9"/>
        <item x="71"/>
        <item t="default"/>
      </items>
    </pivotField>
    <pivotField showAll="0">
      <items count="7">
        <item x="3"/>
        <item x="4"/>
        <item x="0"/>
        <item x="5"/>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ice (INR)" fld="3" baseField="0" baseItem="0"/>
  </dataFields>
  <formats count="6">
    <format dxfId="811">
      <pivotArea type="all" dataOnly="0" outline="0" fieldPosition="0"/>
    </format>
    <format dxfId="810">
      <pivotArea outline="0" collapsedLevelsAreSubtotals="1" fieldPosition="0"/>
    </format>
    <format dxfId="809">
      <pivotArea dataOnly="0" labelOnly="1" outline="0" axis="axisValues" fieldPosition="0"/>
    </format>
    <format dxfId="808">
      <pivotArea type="all" dataOnly="0" outline="0" fieldPosition="0"/>
    </format>
    <format dxfId="807">
      <pivotArea outline="0" collapsedLevelsAreSubtotals="1" fieldPosition="0"/>
    </format>
    <format dxfId="80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C9EF974-4AD6-44CA-BF4B-19DE893685C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2">
    <pivotField showAll="0"/>
    <pivotField showAll="0"/>
    <pivotField showAll="0"/>
    <pivotField showAll="0"/>
    <pivotField dataField="1" showAll="0"/>
    <pivotField showAll="0"/>
    <pivotField numFmtId="14" showAll="0">
      <items count="347">
        <item x="36"/>
        <item x="66"/>
        <item x="319"/>
        <item x="40"/>
        <item x="244"/>
        <item x="148"/>
        <item x="218"/>
        <item x="124"/>
        <item x="194"/>
        <item x="259"/>
        <item x="11"/>
        <item x="182"/>
        <item x="314"/>
        <item x="60"/>
        <item x="311"/>
        <item x="223"/>
        <item x="337"/>
        <item x="305"/>
        <item x="276"/>
        <item x="189"/>
        <item x="119"/>
        <item x="139"/>
        <item x="142"/>
        <item x="213"/>
        <item x="345"/>
        <item x="231"/>
        <item x="248"/>
        <item x="343"/>
        <item x="247"/>
        <item x="261"/>
        <item x="8"/>
        <item x="233"/>
        <item x="306"/>
        <item x="265"/>
        <item x="316"/>
        <item x="20"/>
        <item x="232"/>
        <item x="103"/>
        <item x="15"/>
        <item x="125"/>
        <item x="63"/>
        <item x="68"/>
        <item x="192"/>
        <item x="154"/>
        <item x="179"/>
        <item x="336"/>
        <item x="13"/>
        <item x="263"/>
        <item x="80"/>
        <item x="198"/>
        <item x="220"/>
        <item x="50"/>
        <item x="158"/>
        <item x="164"/>
        <item x="217"/>
        <item x="61"/>
        <item x="328"/>
        <item x="262"/>
        <item x="131"/>
        <item x="77"/>
        <item x="10"/>
        <item x="27"/>
        <item x="252"/>
        <item x="25"/>
        <item x="239"/>
        <item x="335"/>
        <item x="249"/>
        <item x="112"/>
        <item x="104"/>
        <item x="14"/>
        <item x="264"/>
        <item x="280"/>
        <item x="303"/>
        <item x="269"/>
        <item x="203"/>
        <item x="62"/>
        <item x="294"/>
        <item x="285"/>
        <item x="31"/>
        <item x="108"/>
        <item x="226"/>
        <item x="93"/>
        <item x="260"/>
        <item x="59"/>
        <item x="313"/>
        <item x="293"/>
        <item x="147"/>
        <item x="92"/>
        <item x="120"/>
        <item x="241"/>
        <item x="284"/>
        <item x="145"/>
        <item x="174"/>
        <item x="52"/>
        <item x="288"/>
        <item x="2"/>
        <item x="190"/>
        <item x="167"/>
        <item x="310"/>
        <item x="188"/>
        <item x="82"/>
        <item x="267"/>
        <item x="99"/>
        <item x="235"/>
        <item x="102"/>
        <item x="237"/>
        <item x="195"/>
        <item x="76"/>
        <item x="85"/>
        <item x="113"/>
        <item x="12"/>
        <item x="133"/>
        <item x="246"/>
        <item x="224"/>
        <item x="37"/>
        <item x="338"/>
        <item x="161"/>
        <item x="256"/>
        <item x="32"/>
        <item x="240"/>
        <item x="54"/>
        <item x="300"/>
        <item x="176"/>
        <item x="175"/>
        <item x="110"/>
        <item x="170"/>
        <item x="291"/>
        <item x="271"/>
        <item x="211"/>
        <item x="42"/>
        <item x="19"/>
        <item x="340"/>
        <item x="94"/>
        <item x="281"/>
        <item x="33"/>
        <item x="78"/>
        <item x="69"/>
        <item x="205"/>
        <item x="242"/>
        <item x="6"/>
        <item x="64"/>
        <item x="296"/>
        <item x="89"/>
        <item x="212"/>
        <item x="17"/>
        <item x="56"/>
        <item x="150"/>
        <item x="270"/>
        <item x="196"/>
        <item x="90"/>
        <item x="30"/>
        <item x="70"/>
        <item x="245"/>
        <item x="100"/>
        <item x="163"/>
        <item x="298"/>
        <item x="24"/>
        <item x="135"/>
        <item x="22"/>
        <item x="272"/>
        <item x="41"/>
        <item x="320"/>
        <item x="251"/>
        <item x="55"/>
        <item x="136"/>
        <item x="312"/>
        <item x="34"/>
        <item x="327"/>
        <item x="144"/>
        <item x="95"/>
        <item x="26"/>
        <item x="128"/>
        <item x="287"/>
        <item x="301"/>
        <item x="193"/>
        <item x="109"/>
        <item x="44"/>
        <item x="172"/>
        <item x="250"/>
        <item x="225"/>
        <item x="331"/>
        <item x="184"/>
        <item x="173"/>
        <item x="255"/>
        <item x="258"/>
        <item x="121"/>
        <item x="339"/>
        <item x="153"/>
        <item x="23"/>
        <item x="67"/>
        <item x="106"/>
        <item x="222"/>
        <item x="326"/>
        <item x="299"/>
        <item x="53"/>
        <item x="140"/>
        <item x="186"/>
        <item x="156"/>
        <item x="51"/>
        <item x="146"/>
        <item x="88"/>
        <item x="187"/>
        <item x="65"/>
        <item x="307"/>
        <item x="168"/>
        <item x="45"/>
        <item x="96"/>
        <item x="0"/>
        <item x="105"/>
        <item x="321"/>
        <item x="181"/>
        <item x="266"/>
        <item x="162"/>
        <item x="118"/>
        <item x="210"/>
        <item x="234"/>
        <item x="91"/>
        <item x="289"/>
        <item x="79"/>
        <item x="283"/>
        <item x="122"/>
        <item x="228"/>
        <item x="273"/>
        <item x="149"/>
        <item x="29"/>
        <item x="107"/>
        <item x="342"/>
        <item x="49"/>
        <item x="157"/>
        <item x="185"/>
        <item x="98"/>
        <item x="39"/>
        <item x="216"/>
        <item x="315"/>
        <item x="215"/>
        <item x="318"/>
        <item x="229"/>
        <item x="152"/>
        <item x="28"/>
        <item x="129"/>
        <item x="169"/>
        <item x="324"/>
        <item x="323"/>
        <item x="5"/>
        <item x="334"/>
        <item x="151"/>
        <item x="257"/>
        <item x="35"/>
        <item x="75"/>
        <item x="114"/>
        <item x="302"/>
        <item x="46"/>
        <item x="277"/>
        <item x="207"/>
        <item x="155"/>
        <item x="279"/>
        <item x="177"/>
        <item x="206"/>
        <item x="317"/>
        <item x="73"/>
        <item x="3"/>
        <item x="201"/>
        <item x="202"/>
        <item x="47"/>
        <item x="308"/>
        <item x="171"/>
        <item x="159"/>
        <item x="183"/>
        <item x="275"/>
        <item x="304"/>
        <item x="278"/>
        <item x="330"/>
        <item x="126"/>
        <item x="48"/>
        <item x="81"/>
        <item x="21"/>
        <item x="208"/>
        <item x="236"/>
        <item x="268"/>
        <item x="43"/>
        <item x="132"/>
        <item x="214"/>
        <item x="322"/>
        <item x="141"/>
        <item x="74"/>
        <item x="138"/>
        <item x="329"/>
        <item x="87"/>
        <item x="209"/>
        <item x="254"/>
        <item x="72"/>
        <item x="180"/>
        <item x="191"/>
        <item x="325"/>
        <item x="38"/>
        <item x="274"/>
        <item x="253"/>
        <item x="1"/>
        <item x="143"/>
        <item x="130"/>
        <item x="58"/>
        <item x="97"/>
        <item x="290"/>
        <item x="160"/>
        <item x="4"/>
        <item x="166"/>
        <item x="286"/>
        <item x="230"/>
        <item x="123"/>
        <item x="116"/>
        <item x="57"/>
        <item x="332"/>
        <item x="344"/>
        <item x="127"/>
        <item x="16"/>
        <item x="238"/>
        <item x="219"/>
        <item x="200"/>
        <item x="111"/>
        <item x="83"/>
        <item x="333"/>
        <item x="134"/>
        <item x="101"/>
        <item x="292"/>
        <item x="297"/>
        <item x="7"/>
        <item x="243"/>
        <item x="282"/>
        <item x="18"/>
        <item x="199"/>
        <item x="137"/>
        <item x="227"/>
        <item x="309"/>
        <item x="117"/>
        <item x="84"/>
        <item x="221"/>
        <item x="165"/>
        <item x="178"/>
        <item x="86"/>
        <item x="115"/>
        <item x="341"/>
        <item x="295"/>
        <item x="204"/>
        <item x="197"/>
        <item x="9"/>
        <item x="71"/>
        <item t="default"/>
      </items>
    </pivotField>
    <pivotField showAll="0">
      <items count="7">
        <item x="3"/>
        <item x="4"/>
        <item x="0"/>
        <item x="5"/>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Quantity Sold" fld="4" baseField="0" baseItem="0"/>
  </dataFields>
  <formats count="6">
    <format dxfId="817">
      <pivotArea type="all" dataOnly="0" outline="0" fieldPosition="0"/>
    </format>
    <format dxfId="816">
      <pivotArea outline="0" collapsedLevelsAreSubtotals="1" fieldPosition="0"/>
    </format>
    <format dxfId="815">
      <pivotArea dataOnly="0" labelOnly="1" outline="0" axis="axisValues" fieldPosition="0"/>
    </format>
    <format dxfId="814">
      <pivotArea type="all" dataOnly="0" outline="0" fieldPosition="0"/>
    </format>
    <format dxfId="813">
      <pivotArea outline="0" collapsedLevelsAreSubtotals="1" fieldPosition="0"/>
    </format>
    <format dxfId="8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2FFEC9FD-403F-452D-AB98-19BC1BF98A60}" sourceName="Months (Order Date)">
  <pivotTables>
    <pivotTable tabId="3" name="PivotTable7"/>
    <pivotTable tabId="3" name="PivotTable10"/>
    <pivotTable tabId="3" name="PivotTable2"/>
    <pivotTable tabId="3" name="PivotTable3"/>
    <pivotTable tabId="3" name="PivotTable4"/>
    <pivotTable tabId="3" name="PivotTable5"/>
    <pivotTable tabId="3" name="PivotTable6"/>
    <pivotTable tabId="3" name="PivotTable8"/>
    <pivotTable tabId="3" name="PivotTable9"/>
  </pivotTables>
  <data>
    <tabular pivotCacheId="2118612195">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E12A9C4E-30B2-42DD-B411-32607007310F}" sourceName="Years (Order Date)">
  <pivotTables>
    <pivotTable tabId="3" name="PivotTable7"/>
    <pivotTable tabId="3" name="PivotTable10"/>
    <pivotTable tabId="3" name="PivotTable2"/>
    <pivotTable tabId="3" name="PivotTable3"/>
    <pivotTable tabId="3" name="PivotTable4"/>
    <pivotTable tabId="3" name="PivotTable5"/>
    <pivotTable tabId="3" name="PivotTable6"/>
    <pivotTable tabId="3" name="PivotTable8"/>
    <pivotTable tabId="3" name="PivotTable9"/>
  </pivotTables>
  <data>
    <tabular pivotCacheId="2118612195" crossFilter="none">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C5566C5-56BA-4BE7-8466-93882B9F504A}" sourceName="Payment Method">
  <pivotTables>
    <pivotTable tabId="3" name="PivotTable5"/>
    <pivotTable tabId="3" name="PivotTable10"/>
    <pivotTable tabId="3" name="PivotTable2"/>
    <pivotTable tabId="3" name="PivotTable3"/>
    <pivotTable tabId="3" name="PivotTable4"/>
    <pivotTable tabId="3" name="PivotTable7"/>
    <pivotTable tabId="3" name="PivotTable8"/>
    <pivotTable tabId="3" name="PivotTable9"/>
  </pivotTables>
  <data>
    <tabular pivotCacheId="2118612195">
      <items count="6">
        <i x="3" s="1"/>
        <i x="4" s="1"/>
        <i x="0" s="1"/>
        <i x="5"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2" xr10:uid="{E3C5E740-7EFA-4717-A694-0ECDC9B7A6A4}" cache="Slicer_Months__Order_Date" caption="Months (Order Date)" rowHeight="234950"/>
  <slicer name="Years (Order Date)" xr10:uid="{8D8E8324-3420-4045-8BA4-5573FC26C416}" cache="Slicer_Years__Order_Date" caption="Years (Order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1" xr10:uid="{58B019ED-674C-4408-8A26-6BC8C21F3894}" cache="Slicer_Months__Order_Date" caption="Months (Order Date)" style="SlicerStyleLight4" rowHeight="234950"/>
  <slicer name="Years (Order Date) 1" xr10:uid="{017A1F70-889F-4C84-A166-69D676D69AE0}" cache="Slicer_Years__Order_Date" caption="Years (Order Date)" startItem="2" style="SlicerStyleLight4" rowHeight="234950"/>
  <slicer name="Payment Method" xr10:uid="{ED02BF66-F6CB-4E32-BFB1-E590266C8AED}" cache="Slicer_Payment_Method" caption="Payment Method" columnCount="3"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9BEE0D-E7B0-4D68-9A3D-329DD012544B}" name="Table1" displayName="Table1" ref="A1:I1001" totalsRowShown="0">
  <autoFilter ref="A1:I1001" xr:uid="{599BEE0D-E7B0-4D68-9A3D-329DD012544B}"/>
  <tableColumns count="9">
    <tableColumn id="1" xr3:uid="{D5FAC44D-1F3B-4820-8DC4-DD0524793491}" name="Order ID"/>
    <tableColumn id="2" xr3:uid="{77C10B32-10D8-4944-91D4-1A83E3969C3D}" name="Product Name"/>
    <tableColumn id="3" xr3:uid="{6F2A019F-B79A-47CA-A016-AFEB4BC87FE3}" name="Category"/>
    <tableColumn id="4" xr3:uid="{9A62996F-7988-4EB7-8787-57E0C1E40517}" name="Price (INR)"/>
    <tableColumn id="5" xr3:uid="{A2B7B286-9922-443E-8EFB-6055CB0FC218}" name="Quantity Sold"/>
    <tableColumn id="6" xr3:uid="{8DDAE20A-F471-487C-A8B2-187AF7EF7680}" name="Total Sales (INR)"/>
    <tableColumn id="7" xr3:uid="{DA407A51-4D85-4A8F-BF87-616655FBC92E}" name="Order Date" dataDxfId="818"/>
    <tableColumn id="8" xr3:uid="{684078D3-53D9-474F-AAD0-FC7BE6A62B95}" name="Payment Method"/>
    <tableColumn id="9" xr3:uid="{114080C3-CBC5-4467-A2CA-7671F6447B9A}" name="Customer 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538F2-E2E0-4AA8-9E47-84C3C5E2A69F}">
  <dimension ref="A1:I1001"/>
  <sheetViews>
    <sheetView workbookViewId="0">
      <selection activeCell="T41" sqref="T41"/>
    </sheetView>
  </sheetViews>
  <sheetFormatPr defaultRowHeight="14.4" x14ac:dyDescent="0.3"/>
  <cols>
    <col min="1" max="1" width="9.88671875" customWidth="1"/>
    <col min="2" max="2" width="15" customWidth="1"/>
    <col min="3" max="3" width="10.44140625" customWidth="1"/>
    <col min="4" max="4" width="11.77734375" customWidth="1"/>
    <col min="5" max="5" width="14.33203125" customWidth="1"/>
    <col min="6" max="6" width="16.5546875" customWidth="1"/>
    <col min="7" max="7" width="12" customWidth="1"/>
    <col min="8" max="8" width="17.6640625" customWidth="1"/>
    <col min="9" max="9" width="16.77734375" customWidth="1"/>
  </cols>
  <sheetData>
    <row r="1" spans="1:9" x14ac:dyDescent="0.3">
      <c r="A1" t="s">
        <v>0</v>
      </c>
      <c r="B1" t="s">
        <v>1</v>
      </c>
      <c r="C1" t="s">
        <v>2</v>
      </c>
      <c r="D1" t="s">
        <v>3</v>
      </c>
      <c r="E1" t="s">
        <v>4</v>
      </c>
      <c r="F1" t="s">
        <v>5</v>
      </c>
      <c r="G1" t="s">
        <v>6</v>
      </c>
      <c r="H1" t="s">
        <v>7</v>
      </c>
      <c r="I1" t="s">
        <v>8</v>
      </c>
    </row>
    <row r="2" spans="1:9" x14ac:dyDescent="0.3">
      <c r="A2" t="s">
        <v>9</v>
      </c>
      <c r="B2" t="s">
        <v>10</v>
      </c>
      <c r="C2" t="s">
        <v>11</v>
      </c>
      <c r="D2">
        <v>49069.56</v>
      </c>
      <c r="E2">
        <v>2</v>
      </c>
      <c r="F2">
        <v>98139.12</v>
      </c>
      <c r="G2" s="1">
        <v>45547</v>
      </c>
      <c r="H2" t="s">
        <v>12</v>
      </c>
      <c r="I2">
        <v>3.5</v>
      </c>
    </row>
    <row r="3" spans="1:9" x14ac:dyDescent="0.3">
      <c r="A3" t="s">
        <v>13</v>
      </c>
      <c r="B3" t="s">
        <v>14</v>
      </c>
      <c r="C3" t="s">
        <v>15</v>
      </c>
      <c r="D3">
        <v>12755.85</v>
      </c>
      <c r="E3">
        <v>4</v>
      </c>
      <c r="F3">
        <v>51023.4</v>
      </c>
      <c r="G3" s="1">
        <v>45644</v>
      </c>
      <c r="H3" t="s">
        <v>16</v>
      </c>
      <c r="I3">
        <v>3.9</v>
      </c>
    </row>
    <row r="4" spans="1:9" x14ac:dyDescent="0.3">
      <c r="A4" t="s">
        <v>17</v>
      </c>
      <c r="B4" t="s">
        <v>18</v>
      </c>
      <c r="C4" t="s">
        <v>19</v>
      </c>
      <c r="D4">
        <v>11092.19</v>
      </c>
      <c r="E4">
        <v>4</v>
      </c>
      <c r="F4">
        <v>44368.76</v>
      </c>
      <c r="G4" s="1">
        <v>45430</v>
      </c>
      <c r="H4" t="s">
        <v>12</v>
      </c>
      <c r="I4">
        <v>4.4000000000000004</v>
      </c>
    </row>
    <row r="5" spans="1:9" x14ac:dyDescent="0.3">
      <c r="A5" t="s">
        <v>20</v>
      </c>
      <c r="B5" t="s">
        <v>21</v>
      </c>
      <c r="C5" t="s">
        <v>22</v>
      </c>
      <c r="D5">
        <v>32657.81</v>
      </c>
      <c r="E5">
        <v>1</v>
      </c>
      <c r="F5">
        <v>32657.81</v>
      </c>
      <c r="G5" s="1">
        <v>45604</v>
      </c>
      <c r="H5" t="s">
        <v>12</v>
      </c>
      <c r="I5">
        <v>3.2</v>
      </c>
    </row>
    <row r="6" spans="1:9" x14ac:dyDescent="0.3">
      <c r="A6" t="s">
        <v>23</v>
      </c>
      <c r="B6" t="s">
        <v>24</v>
      </c>
      <c r="C6" t="s">
        <v>25</v>
      </c>
      <c r="D6">
        <v>26590.080000000002</v>
      </c>
      <c r="E6">
        <v>3</v>
      </c>
      <c r="F6">
        <v>79770.240000000005</v>
      </c>
      <c r="G6" s="1">
        <v>45653</v>
      </c>
      <c r="H6" t="s">
        <v>16</v>
      </c>
      <c r="I6">
        <v>3.1</v>
      </c>
    </row>
    <row r="7" spans="1:9" x14ac:dyDescent="0.3">
      <c r="A7" t="s">
        <v>26</v>
      </c>
      <c r="B7" t="s">
        <v>27</v>
      </c>
      <c r="C7" t="s">
        <v>25</v>
      </c>
      <c r="D7">
        <v>10475.030000000001</v>
      </c>
      <c r="E7">
        <v>2</v>
      </c>
      <c r="F7">
        <v>20950.060000000001</v>
      </c>
      <c r="G7" s="1">
        <v>45587</v>
      </c>
      <c r="H7" t="s">
        <v>28</v>
      </c>
      <c r="I7">
        <v>1.7</v>
      </c>
    </row>
    <row r="8" spans="1:9" x14ac:dyDescent="0.3">
      <c r="A8" t="s">
        <v>29</v>
      </c>
      <c r="B8" t="s">
        <v>30</v>
      </c>
      <c r="C8" t="s">
        <v>15</v>
      </c>
      <c r="D8">
        <v>38647.72</v>
      </c>
      <c r="E8">
        <v>3</v>
      </c>
      <c r="F8">
        <v>115943.16</v>
      </c>
      <c r="G8" s="1">
        <v>45477</v>
      </c>
      <c r="H8" t="s">
        <v>28</v>
      </c>
      <c r="I8">
        <v>2</v>
      </c>
    </row>
    <row r="9" spans="1:9" x14ac:dyDescent="0.3">
      <c r="A9" t="s">
        <v>31</v>
      </c>
      <c r="B9" t="s">
        <v>32</v>
      </c>
      <c r="C9" t="s">
        <v>25</v>
      </c>
      <c r="D9">
        <v>24818.59</v>
      </c>
      <c r="E9">
        <v>3</v>
      </c>
      <c r="F9">
        <v>74455.77</v>
      </c>
      <c r="G9" s="1">
        <v>45653</v>
      </c>
      <c r="H9" t="s">
        <v>12</v>
      </c>
      <c r="I9">
        <v>2.4</v>
      </c>
    </row>
    <row r="10" spans="1:9" x14ac:dyDescent="0.3">
      <c r="A10" t="s">
        <v>33</v>
      </c>
      <c r="B10" t="s">
        <v>34</v>
      </c>
      <c r="C10" t="s">
        <v>15</v>
      </c>
      <c r="D10">
        <v>1987.39</v>
      </c>
      <c r="E10">
        <v>2</v>
      </c>
      <c r="F10">
        <v>3974.78</v>
      </c>
      <c r="G10" s="1">
        <v>45675</v>
      </c>
      <c r="H10" t="s">
        <v>12</v>
      </c>
      <c r="I10">
        <v>2.6</v>
      </c>
    </row>
    <row r="11" spans="1:9" x14ac:dyDescent="0.3">
      <c r="A11" t="s">
        <v>35</v>
      </c>
      <c r="B11" t="s">
        <v>36</v>
      </c>
      <c r="C11" t="s">
        <v>22</v>
      </c>
      <c r="D11">
        <v>26876.51</v>
      </c>
      <c r="E11">
        <v>2</v>
      </c>
      <c r="F11">
        <v>53753.02</v>
      </c>
      <c r="G11" s="1">
        <v>45365</v>
      </c>
      <c r="H11" t="s">
        <v>12</v>
      </c>
      <c r="I11">
        <v>4</v>
      </c>
    </row>
    <row r="12" spans="1:9" x14ac:dyDescent="0.3">
      <c r="A12" t="s">
        <v>37</v>
      </c>
      <c r="B12" t="s">
        <v>38</v>
      </c>
      <c r="C12" t="s">
        <v>19</v>
      </c>
      <c r="D12">
        <v>46409.57</v>
      </c>
      <c r="E12">
        <v>5</v>
      </c>
      <c r="F12">
        <v>232047.85</v>
      </c>
      <c r="G12" s="1">
        <v>45696</v>
      </c>
      <c r="H12" t="s">
        <v>16</v>
      </c>
      <c r="I12">
        <v>2.2999999999999998</v>
      </c>
    </row>
    <row r="13" spans="1:9" x14ac:dyDescent="0.3">
      <c r="A13" t="s">
        <v>39</v>
      </c>
      <c r="B13" t="s">
        <v>40</v>
      </c>
      <c r="C13" t="s">
        <v>19</v>
      </c>
      <c r="D13">
        <v>48780.78</v>
      </c>
      <c r="E13">
        <v>5</v>
      </c>
      <c r="F13">
        <v>243903.9</v>
      </c>
      <c r="G13" s="1">
        <v>45395</v>
      </c>
      <c r="H13" t="s">
        <v>16</v>
      </c>
      <c r="I13">
        <v>1.3</v>
      </c>
    </row>
    <row r="14" spans="1:9" x14ac:dyDescent="0.3">
      <c r="A14" t="s">
        <v>41</v>
      </c>
      <c r="B14" t="s">
        <v>10</v>
      </c>
      <c r="C14" t="s">
        <v>11</v>
      </c>
      <c r="D14">
        <v>6670.82</v>
      </c>
      <c r="E14">
        <v>5</v>
      </c>
      <c r="F14">
        <v>33354.1</v>
      </c>
      <c r="G14" s="1">
        <v>45345</v>
      </c>
      <c r="H14" t="s">
        <v>42</v>
      </c>
      <c r="I14">
        <v>1.2</v>
      </c>
    </row>
    <row r="15" spans="1:9" x14ac:dyDescent="0.3">
      <c r="A15" t="s">
        <v>43</v>
      </c>
      <c r="B15" t="s">
        <v>44</v>
      </c>
      <c r="C15" t="s">
        <v>22</v>
      </c>
      <c r="D15">
        <v>10826.05</v>
      </c>
      <c r="E15">
        <v>1</v>
      </c>
      <c r="F15">
        <v>10826.05</v>
      </c>
      <c r="G15" s="1">
        <v>45445</v>
      </c>
      <c r="H15" t="s">
        <v>28</v>
      </c>
      <c r="I15">
        <v>3.7</v>
      </c>
    </row>
    <row r="16" spans="1:9" x14ac:dyDescent="0.3">
      <c r="A16" t="s">
        <v>45</v>
      </c>
      <c r="B16" t="s">
        <v>46</v>
      </c>
      <c r="C16" t="s">
        <v>11</v>
      </c>
      <c r="D16">
        <v>6839.1</v>
      </c>
      <c r="E16">
        <v>1</v>
      </c>
      <c r="F16">
        <v>6839.1</v>
      </c>
      <c r="G16" s="1">
        <v>45547</v>
      </c>
      <c r="H16" t="s">
        <v>47</v>
      </c>
      <c r="I16">
        <v>1.6</v>
      </c>
    </row>
    <row r="17" spans="1:9" x14ac:dyDescent="0.3">
      <c r="A17" t="s">
        <v>48</v>
      </c>
      <c r="B17" t="s">
        <v>27</v>
      </c>
      <c r="C17" t="s">
        <v>25</v>
      </c>
      <c r="D17">
        <v>18197.89</v>
      </c>
      <c r="E17">
        <v>5</v>
      </c>
      <c r="F17">
        <v>90989.45</v>
      </c>
      <c r="G17" s="1">
        <v>45381</v>
      </c>
      <c r="H17" t="s">
        <v>12</v>
      </c>
      <c r="I17">
        <v>1.6</v>
      </c>
    </row>
    <row r="18" spans="1:9" x14ac:dyDescent="0.3">
      <c r="A18" t="s">
        <v>49</v>
      </c>
      <c r="B18" t="s">
        <v>50</v>
      </c>
      <c r="C18" t="s">
        <v>11</v>
      </c>
      <c r="D18">
        <v>20817.46</v>
      </c>
      <c r="E18">
        <v>2</v>
      </c>
      <c r="F18">
        <v>41634.92</v>
      </c>
      <c r="G18" s="1">
        <v>45381</v>
      </c>
      <c r="H18" t="s">
        <v>12</v>
      </c>
      <c r="I18">
        <v>2.2999999999999998</v>
      </c>
    </row>
    <row r="19" spans="1:9" x14ac:dyDescent="0.3">
      <c r="A19" t="s">
        <v>51</v>
      </c>
      <c r="B19" t="s">
        <v>38</v>
      </c>
      <c r="C19" t="s">
        <v>19</v>
      </c>
      <c r="D19">
        <v>44061.25</v>
      </c>
      <c r="E19">
        <v>4</v>
      </c>
      <c r="F19">
        <v>176245</v>
      </c>
      <c r="G19" s="1">
        <v>45404</v>
      </c>
      <c r="H19" t="s">
        <v>42</v>
      </c>
      <c r="I19">
        <v>2.5</v>
      </c>
    </row>
    <row r="20" spans="1:9" x14ac:dyDescent="0.3">
      <c r="A20" t="s">
        <v>52</v>
      </c>
      <c r="B20" t="s">
        <v>50</v>
      </c>
      <c r="C20" t="s">
        <v>11</v>
      </c>
      <c r="D20">
        <v>4398.59</v>
      </c>
      <c r="E20">
        <v>5</v>
      </c>
      <c r="F20">
        <v>21992.95</v>
      </c>
      <c r="G20" s="1">
        <v>45373</v>
      </c>
      <c r="H20" t="s">
        <v>28</v>
      </c>
      <c r="I20">
        <v>4</v>
      </c>
    </row>
    <row r="21" spans="1:9" x14ac:dyDescent="0.3">
      <c r="A21" t="s">
        <v>53</v>
      </c>
      <c r="B21" t="s">
        <v>54</v>
      </c>
      <c r="C21" t="s">
        <v>15</v>
      </c>
      <c r="D21">
        <v>32565.77</v>
      </c>
      <c r="E21">
        <v>5</v>
      </c>
      <c r="F21">
        <v>162828.85</v>
      </c>
      <c r="G21" s="1">
        <v>45663</v>
      </c>
      <c r="H21" t="s">
        <v>42</v>
      </c>
      <c r="I21">
        <v>4.4000000000000004</v>
      </c>
    </row>
    <row r="22" spans="1:9" x14ac:dyDescent="0.3">
      <c r="A22" t="s">
        <v>55</v>
      </c>
      <c r="B22" t="s">
        <v>24</v>
      </c>
      <c r="C22" t="s">
        <v>25</v>
      </c>
      <c r="D22">
        <v>47529.36</v>
      </c>
      <c r="E22">
        <v>1</v>
      </c>
      <c r="F22">
        <v>47529.36</v>
      </c>
      <c r="G22" s="1">
        <v>45482</v>
      </c>
      <c r="H22" t="s">
        <v>56</v>
      </c>
      <c r="I22">
        <v>4.5</v>
      </c>
    </row>
    <row r="23" spans="1:9" x14ac:dyDescent="0.3">
      <c r="A23" t="s">
        <v>57</v>
      </c>
      <c r="B23" t="s">
        <v>14</v>
      </c>
      <c r="C23" t="s">
        <v>15</v>
      </c>
      <c r="D23">
        <v>37129.730000000003</v>
      </c>
      <c r="E23">
        <v>3</v>
      </c>
      <c r="F23">
        <v>111389.19</v>
      </c>
      <c r="G23" s="1">
        <v>45679</v>
      </c>
      <c r="H23" t="s">
        <v>28</v>
      </c>
      <c r="I23">
        <v>4.3</v>
      </c>
    </row>
    <row r="24" spans="1:9" x14ac:dyDescent="0.3">
      <c r="A24" t="s">
        <v>58</v>
      </c>
      <c r="B24" t="s">
        <v>10</v>
      </c>
      <c r="C24" t="s">
        <v>11</v>
      </c>
      <c r="D24">
        <v>48258.19</v>
      </c>
      <c r="E24">
        <v>4</v>
      </c>
      <c r="F24">
        <v>193032.76</v>
      </c>
      <c r="G24" s="1">
        <v>45466</v>
      </c>
      <c r="H24" t="s">
        <v>16</v>
      </c>
      <c r="I24">
        <v>1.6</v>
      </c>
    </row>
    <row r="25" spans="1:9" x14ac:dyDescent="0.3">
      <c r="A25" t="s">
        <v>59</v>
      </c>
      <c r="B25" t="s">
        <v>60</v>
      </c>
      <c r="C25" t="s">
        <v>25</v>
      </c>
      <c r="D25">
        <v>32505.96</v>
      </c>
      <c r="E25">
        <v>1</v>
      </c>
      <c r="F25">
        <v>32505.96</v>
      </c>
      <c r="G25" s="1">
        <v>45370</v>
      </c>
      <c r="H25" t="s">
        <v>28</v>
      </c>
      <c r="I25">
        <v>2.8</v>
      </c>
    </row>
    <row r="26" spans="1:9" x14ac:dyDescent="0.3">
      <c r="A26" t="s">
        <v>61</v>
      </c>
      <c r="B26" t="s">
        <v>24</v>
      </c>
      <c r="C26" t="s">
        <v>25</v>
      </c>
      <c r="D26">
        <v>4165.6400000000003</v>
      </c>
      <c r="E26">
        <v>2</v>
      </c>
      <c r="F26">
        <v>8331.2800000000007</v>
      </c>
      <c r="G26" s="1">
        <v>45620</v>
      </c>
      <c r="H26" t="s">
        <v>42</v>
      </c>
      <c r="I26">
        <v>1.1000000000000001</v>
      </c>
    </row>
    <row r="27" spans="1:9" x14ac:dyDescent="0.3">
      <c r="A27" t="s">
        <v>62</v>
      </c>
      <c r="B27" t="s">
        <v>54</v>
      </c>
      <c r="C27" t="s">
        <v>15</v>
      </c>
      <c r="D27">
        <v>2053.11</v>
      </c>
      <c r="E27">
        <v>4</v>
      </c>
      <c r="F27">
        <v>8212.44</v>
      </c>
      <c r="G27" s="1">
        <v>45496</v>
      </c>
      <c r="H27" t="s">
        <v>42</v>
      </c>
      <c r="I27">
        <v>3.4</v>
      </c>
    </row>
    <row r="28" spans="1:9" x14ac:dyDescent="0.3">
      <c r="A28" t="s">
        <v>63</v>
      </c>
      <c r="B28" t="s">
        <v>14</v>
      </c>
      <c r="C28" t="s">
        <v>15</v>
      </c>
      <c r="D28">
        <v>38927.620000000003</v>
      </c>
      <c r="E28">
        <v>4</v>
      </c>
      <c r="F28">
        <v>155710.48000000001</v>
      </c>
      <c r="G28" s="1">
        <v>45528</v>
      </c>
      <c r="H28" t="s">
        <v>28</v>
      </c>
      <c r="I28">
        <v>2.5</v>
      </c>
    </row>
    <row r="29" spans="1:9" x14ac:dyDescent="0.3">
      <c r="A29" t="s">
        <v>64</v>
      </c>
      <c r="B29" t="s">
        <v>27</v>
      </c>
      <c r="C29" t="s">
        <v>25</v>
      </c>
      <c r="D29">
        <v>28978.47</v>
      </c>
      <c r="E29">
        <v>4</v>
      </c>
      <c r="F29">
        <v>115913.88</v>
      </c>
      <c r="G29" s="1">
        <v>45494</v>
      </c>
      <c r="H29" t="s">
        <v>16</v>
      </c>
      <c r="I29">
        <v>2.2999999999999998</v>
      </c>
    </row>
    <row r="30" spans="1:9" x14ac:dyDescent="0.3">
      <c r="A30" t="s">
        <v>65</v>
      </c>
      <c r="B30" t="s">
        <v>40</v>
      </c>
      <c r="C30" t="s">
        <v>19</v>
      </c>
      <c r="D30">
        <v>21293.42</v>
      </c>
      <c r="E30">
        <v>5</v>
      </c>
      <c r="F30">
        <v>106467.1</v>
      </c>
      <c r="G30" s="1">
        <v>45398</v>
      </c>
      <c r="H30" t="s">
        <v>28</v>
      </c>
      <c r="I30">
        <v>2.2000000000000002</v>
      </c>
    </row>
    <row r="31" spans="1:9" x14ac:dyDescent="0.3">
      <c r="A31" t="s">
        <v>66</v>
      </c>
      <c r="B31" t="s">
        <v>40</v>
      </c>
      <c r="C31" t="s">
        <v>19</v>
      </c>
      <c r="D31">
        <v>49097.01</v>
      </c>
      <c r="E31">
        <v>4</v>
      </c>
      <c r="F31">
        <v>196388.04</v>
      </c>
      <c r="G31" s="1">
        <v>45509</v>
      </c>
      <c r="H31" t="s">
        <v>47</v>
      </c>
      <c r="I31">
        <v>3.7</v>
      </c>
    </row>
    <row r="32" spans="1:9" x14ac:dyDescent="0.3">
      <c r="A32" t="s">
        <v>67</v>
      </c>
      <c r="B32" t="s">
        <v>38</v>
      </c>
      <c r="C32" t="s">
        <v>19</v>
      </c>
      <c r="D32">
        <v>47651.19</v>
      </c>
      <c r="E32">
        <v>1</v>
      </c>
      <c r="F32">
        <v>47651.19</v>
      </c>
      <c r="G32" s="1">
        <v>45396</v>
      </c>
      <c r="H32" t="s">
        <v>56</v>
      </c>
      <c r="I32">
        <v>3.6</v>
      </c>
    </row>
    <row r="33" spans="1:9" x14ac:dyDescent="0.3">
      <c r="A33" t="s">
        <v>68</v>
      </c>
      <c r="B33" t="s">
        <v>69</v>
      </c>
      <c r="C33" t="s">
        <v>19</v>
      </c>
      <c r="D33">
        <v>15046.01</v>
      </c>
      <c r="E33">
        <v>5</v>
      </c>
      <c r="F33">
        <v>75230.05</v>
      </c>
      <c r="G33" s="1">
        <v>45582</v>
      </c>
      <c r="H33" t="s">
        <v>42</v>
      </c>
      <c r="I33">
        <v>1.1000000000000001</v>
      </c>
    </row>
    <row r="34" spans="1:9" x14ac:dyDescent="0.3">
      <c r="A34" t="s">
        <v>70</v>
      </c>
      <c r="B34" t="s">
        <v>71</v>
      </c>
      <c r="C34" t="s">
        <v>22</v>
      </c>
      <c r="D34">
        <v>36980.1</v>
      </c>
      <c r="E34">
        <v>3</v>
      </c>
      <c r="F34">
        <v>110940.3</v>
      </c>
      <c r="G34" s="1">
        <v>45566</v>
      </c>
      <c r="H34" t="s">
        <v>42</v>
      </c>
      <c r="I34">
        <v>3.2</v>
      </c>
    </row>
    <row r="35" spans="1:9" x14ac:dyDescent="0.3">
      <c r="A35" t="s">
        <v>72</v>
      </c>
      <c r="B35" t="s">
        <v>32</v>
      </c>
      <c r="C35" t="s">
        <v>25</v>
      </c>
      <c r="D35">
        <v>38144.67</v>
      </c>
      <c r="E35">
        <v>2</v>
      </c>
      <c r="F35">
        <v>76289.34</v>
      </c>
      <c r="G35" s="1">
        <v>45488</v>
      </c>
      <c r="H35" t="s">
        <v>56</v>
      </c>
      <c r="I35">
        <v>3.1</v>
      </c>
    </row>
    <row r="36" spans="1:9" x14ac:dyDescent="0.3">
      <c r="A36" t="s">
        <v>73</v>
      </c>
      <c r="B36" t="s">
        <v>71</v>
      </c>
      <c r="C36" t="s">
        <v>22</v>
      </c>
      <c r="D36">
        <v>49355.45</v>
      </c>
      <c r="E36">
        <v>2</v>
      </c>
      <c r="F36">
        <v>98710.9</v>
      </c>
      <c r="G36" s="1">
        <v>45413</v>
      </c>
      <c r="H36" t="s">
        <v>42</v>
      </c>
      <c r="I36">
        <v>3.5</v>
      </c>
    </row>
    <row r="37" spans="1:9" x14ac:dyDescent="0.3">
      <c r="A37" t="s">
        <v>74</v>
      </c>
      <c r="B37" t="s">
        <v>75</v>
      </c>
      <c r="C37" t="s">
        <v>19</v>
      </c>
      <c r="D37">
        <v>12945.96</v>
      </c>
      <c r="E37">
        <v>3</v>
      </c>
      <c r="F37">
        <v>38837.879999999997</v>
      </c>
      <c r="G37" s="1">
        <v>45453</v>
      </c>
      <c r="H37" t="s">
        <v>28</v>
      </c>
      <c r="I37">
        <v>1.4</v>
      </c>
    </row>
    <row r="38" spans="1:9" x14ac:dyDescent="0.3">
      <c r="A38" t="s">
        <v>76</v>
      </c>
      <c r="B38" t="s">
        <v>38</v>
      </c>
      <c r="C38" t="s">
        <v>19</v>
      </c>
      <c r="D38">
        <v>34927.79</v>
      </c>
      <c r="E38">
        <v>4</v>
      </c>
      <c r="F38">
        <v>139711.16</v>
      </c>
      <c r="G38" s="1">
        <v>45470</v>
      </c>
      <c r="H38" t="s">
        <v>47</v>
      </c>
      <c r="I38">
        <v>1.1000000000000001</v>
      </c>
    </row>
    <row r="39" spans="1:9" x14ac:dyDescent="0.3">
      <c r="A39" t="s">
        <v>77</v>
      </c>
      <c r="B39" t="s">
        <v>32</v>
      </c>
      <c r="C39" t="s">
        <v>25</v>
      </c>
      <c r="D39">
        <v>3677.4</v>
      </c>
      <c r="E39">
        <v>3</v>
      </c>
      <c r="F39">
        <v>11032.2</v>
      </c>
      <c r="G39" s="1">
        <v>45504</v>
      </c>
      <c r="H39" t="s">
        <v>16</v>
      </c>
      <c r="I39">
        <v>3.7</v>
      </c>
    </row>
    <row r="40" spans="1:9" x14ac:dyDescent="0.3">
      <c r="A40" t="s">
        <v>78</v>
      </c>
      <c r="B40" t="s">
        <v>46</v>
      </c>
      <c r="C40" t="s">
        <v>11</v>
      </c>
      <c r="D40">
        <v>37004.54</v>
      </c>
      <c r="E40">
        <v>4</v>
      </c>
      <c r="F40">
        <v>148018.16</v>
      </c>
      <c r="G40" s="1">
        <v>45591</v>
      </c>
      <c r="H40" t="s">
        <v>12</v>
      </c>
      <c r="I40">
        <v>4</v>
      </c>
    </row>
    <row r="41" spans="1:9" x14ac:dyDescent="0.3">
      <c r="A41" t="s">
        <v>79</v>
      </c>
      <c r="B41" t="s">
        <v>50</v>
      </c>
      <c r="C41" t="s">
        <v>11</v>
      </c>
      <c r="D41">
        <v>27961.78</v>
      </c>
      <c r="E41">
        <v>5</v>
      </c>
      <c r="F41">
        <v>139808.9</v>
      </c>
      <c r="G41" s="1">
        <v>45345</v>
      </c>
      <c r="H41" t="s">
        <v>56</v>
      </c>
      <c r="I41">
        <v>4</v>
      </c>
    </row>
    <row r="42" spans="1:9" x14ac:dyDescent="0.3">
      <c r="A42" t="s">
        <v>80</v>
      </c>
      <c r="B42" t="s">
        <v>46</v>
      </c>
      <c r="C42" t="s">
        <v>11</v>
      </c>
      <c r="D42">
        <v>2655.8</v>
      </c>
      <c r="E42">
        <v>2</v>
      </c>
      <c r="F42">
        <v>5311.6</v>
      </c>
      <c r="G42" s="1">
        <v>45334</v>
      </c>
      <c r="H42" t="s">
        <v>56</v>
      </c>
      <c r="I42">
        <v>3.7</v>
      </c>
    </row>
    <row r="43" spans="1:9" x14ac:dyDescent="0.3">
      <c r="A43" t="s">
        <v>81</v>
      </c>
      <c r="B43" t="s">
        <v>82</v>
      </c>
      <c r="C43" t="s">
        <v>22</v>
      </c>
      <c r="D43">
        <v>965.51</v>
      </c>
      <c r="E43">
        <v>4</v>
      </c>
      <c r="F43">
        <v>3862.04</v>
      </c>
      <c r="G43" s="1">
        <v>45449</v>
      </c>
      <c r="H43" t="s">
        <v>42</v>
      </c>
      <c r="I43">
        <v>3.5</v>
      </c>
    </row>
    <row r="44" spans="1:9" x14ac:dyDescent="0.3">
      <c r="A44" t="s">
        <v>83</v>
      </c>
      <c r="B44" t="s">
        <v>60</v>
      </c>
      <c r="C44" t="s">
        <v>25</v>
      </c>
      <c r="D44">
        <v>2980.08</v>
      </c>
      <c r="E44">
        <v>3</v>
      </c>
      <c r="F44">
        <v>8940.24</v>
      </c>
      <c r="G44" s="1">
        <v>45640</v>
      </c>
      <c r="H44" t="s">
        <v>56</v>
      </c>
      <c r="I44">
        <v>4.2</v>
      </c>
    </row>
    <row r="45" spans="1:9" x14ac:dyDescent="0.3">
      <c r="A45" t="s">
        <v>84</v>
      </c>
      <c r="B45" t="s">
        <v>27</v>
      </c>
      <c r="C45" t="s">
        <v>25</v>
      </c>
      <c r="D45">
        <v>8598.58</v>
      </c>
      <c r="E45">
        <v>1</v>
      </c>
      <c r="F45">
        <v>8598.58</v>
      </c>
      <c r="G45" s="1">
        <v>45574</v>
      </c>
      <c r="H45" t="s">
        <v>12</v>
      </c>
      <c r="I45">
        <v>1.1000000000000001</v>
      </c>
    </row>
    <row r="46" spans="1:9" x14ac:dyDescent="0.3">
      <c r="A46" t="s">
        <v>85</v>
      </c>
      <c r="B46" t="s">
        <v>75</v>
      </c>
      <c r="C46" t="s">
        <v>19</v>
      </c>
      <c r="D46">
        <v>31850.15</v>
      </c>
      <c r="E46">
        <v>2</v>
      </c>
      <c r="F46">
        <v>63700.3</v>
      </c>
      <c r="G46" s="1">
        <v>45396</v>
      </c>
      <c r="H46" t="s">
        <v>56</v>
      </c>
      <c r="I46">
        <v>2.8</v>
      </c>
    </row>
    <row r="47" spans="1:9" x14ac:dyDescent="0.3">
      <c r="A47" t="s">
        <v>86</v>
      </c>
      <c r="B47" t="s">
        <v>21</v>
      </c>
      <c r="C47" t="s">
        <v>22</v>
      </c>
      <c r="D47">
        <v>33443.32</v>
      </c>
      <c r="E47">
        <v>5</v>
      </c>
      <c r="F47">
        <v>167216.6</v>
      </c>
      <c r="G47" s="1">
        <v>45337</v>
      </c>
      <c r="H47" t="s">
        <v>16</v>
      </c>
      <c r="I47">
        <v>2.4</v>
      </c>
    </row>
    <row r="48" spans="1:9" x14ac:dyDescent="0.3">
      <c r="A48" t="s">
        <v>87</v>
      </c>
      <c r="B48" t="s">
        <v>34</v>
      </c>
      <c r="C48" t="s">
        <v>15</v>
      </c>
      <c r="D48">
        <v>29592.5</v>
      </c>
      <c r="E48">
        <v>5</v>
      </c>
      <c r="F48">
        <v>147962.5</v>
      </c>
      <c r="G48" s="1">
        <v>45498</v>
      </c>
      <c r="H48" t="s">
        <v>56</v>
      </c>
      <c r="I48">
        <v>4.7</v>
      </c>
    </row>
    <row r="49" spans="1:9" x14ac:dyDescent="0.3">
      <c r="A49" t="s">
        <v>88</v>
      </c>
      <c r="B49" t="s">
        <v>69</v>
      </c>
      <c r="C49" t="s">
        <v>19</v>
      </c>
      <c r="D49">
        <v>11187.38</v>
      </c>
      <c r="E49">
        <v>4</v>
      </c>
      <c r="F49">
        <v>44749.52</v>
      </c>
      <c r="G49" s="1">
        <v>45465</v>
      </c>
      <c r="H49" t="s">
        <v>28</v>
      </c>
      <c r="I49">
        <v>2.2999999999999998</v>
      </c>
    </row>
    <row r="50" spans="1:9" x14ac:dyDescent="0.3">
      <c r="A50" t="s">
        <v>89</v>
      </c>
      <c r="B50" t="s">
        <v>60</v>
      </c>
      <c r="C50" t="s">
        <v>25</v>
      </c>
      <c r="D50">
        <v>23898.58</v>
      </c>
      <c r="E50">
        <v>5</v>
      </c>
      <c r="F50">
        <v>119492.9</v>
      </c>
      <c r="G50" s="1">
        <v>45624</v>
      </c>
      <c r="H50" t="s">
        <v>47</v>
      </c>
      <c r="I50">
        <v>3.3</v>
      </c>
    </row>
    <row r="51" spans="1:9" x14ac:dyDescent="0.3">
      <c r="A51" t="s">
        <v>90</v>
      </c>
      <c r="B51" t="s">
        <v>46</v>
      </c>
      <c r="C51" t="s">
        <v>11</v>
      </c>
      <c r="D51">
        <v>1391.49</v>
      </c>
      <c r="E51">
        <v>4</v>
      </c>
      <c r="F51">
        <v>5565.96</v>
      </c>
      <c r="G51" s="1">
        <v>45515</v>
      </c>
      <c r="H51" t="s">
        <v>47</v>
      </c>
      <c r="I51">
        <v>4.5</v>
      </c>
    </row>
    <row r="52" spans="1:9" x14ac:dyDescent="0.3">
      <c r="A52" t="s">
        <v>91</v>
      </c>
      <c r="B52" t="s">
        <v>14</v>
      </c>
      <c r="C52" t="s">
        <v>15</v>
      </c>
      <c r="D52">
        <v>18607.689999999999</v>
      </c>
      <c r="E52">
        <v>5</v>
      </c>
      <c r="F52">
        <v>93038.45</v>
      </c>
      <c r="G52" s="1">
        <v>45545</v>
      </c>
      <c r="H52" t="s">
        <v>42</v>
      </c>
      <c r="I52">
        <v>2.4</v>
      </c>
    </row>
    <row r="53" spans="1:9" x14ac:dyDescent="0.3">
      <c r="A53" t="s">
        <v>92</v>
      </c>
      <c r="B53" t="s">
        <v>93</v>
      </c>
      <c r="C53" t="s">
        <v>11</v>
      </c>
      <c r="D53">
        <v>46224.88</v>
      </c>
      <c r="E53">
        <v>3</v>
      </c>
      <c r="F53">
        <v>138674.64000000001</v>
      </c>
      <c r="G53" s="1">
        <v>45595</v>
      </c>
      <c r="H53" t="s">
        <v>47</v>
      </c>
      <c r="I53">
        <v>4.0999999999999996</v>
      </c>
    </row>
    <row r="54" spans="1:9" x14ac:dyDescent="0.3">
      <c r="A54" t="s">
        <v>94</v>
      </c>
      <c r="B54" t="s">
        <v>36</v>
      </c>
      <c r="C54" t="s">
        <v>22</v>
      </c>
      <c r="D54">
        <v>11864.13</v>
      </c>
      <c r="E54">
        <v>5</v>
      </c>
      <c r="F54">
        <v>59320.65</v>
      </c>
      <c r="G54" s="1">
        <v>45607</v>
      </c>
      <c r="H54" t="s">
        <v>12</v>
      </c>
      <c r="I54">
        <v>1.3</v>
      </c>
    </row>
    <row r="55" spans="1:9" x14ac:dyDescent="0.3">
      <c r="A55" t="s">
        <v>95</v>
      </c>
      <c r="B55" t="s">
        <v>46</v>
      </c>
      <c r="C55" t="s">
        <v>11</v>
      </c>
      <c r="D55">
        <v>7757.2</v>
      </c>
      <c r="E55">
        <v>5</v>
      </c>
      <c r="F55">
        <v>38786</v>
      </c>
      <c r="G55" s="1">
        <v>45618</v>
      </c>
      <c r="H55" t="s">
        <v>28</v>
      </c>
      <c r="I55">
        <v>2.2000000000000002</v>
      </c>
    </row>
    <row r="56" spans="1:9" x14ac:dyDescent="0.3">
      <c r="A56" t="s">
        <v>96</v>
      </c>
      <c r="B56" t="s">
        <v>21</v>
      </c>
      <c r="C56" t="s">
        <v>22</v>
      </c>
      <c r="D56">
        <v>29745</v>
      </c>
      <c r="E56">
        <v>1</v>
      </c>
      <c r="F56">
        <v>29745</v>
      </c>
      <c r="G56" s="1">
        <v>45569</v>
      </c>
      <c r="H56" t="s">
        <v>16</v>
      </c>
      <c r="I56">
        <v>3.6</v>
      </c>
    </row>
    <row r="57" spans="1:9" x14ac:dyDescent="0.3">
      <c r="A57" t="s">
        <v>97</v>
      </c>
      <c r="B57" t="s">
        <v>14</v>
      </c>
      <c r="C57" t="s">
        <v>15</v>
      </c>
      <c r="D57">
        <v>39176.54</v>
      </c>
      <c r="E57">
        <v>5</v>
      </c>
      <c r="F57">
        <v>195882.7</v>
      </c>
      <c r="G57" s="1">
        <v>45386</v>
      </c>
      <c r="H57" t="s">
        <v>56</v>
      </c>
      <c r="I57">
        <v>4.0999999999999996</v>
      </c>
    </row>
    <row r="58" spans="1:9" x14ac:dyDescent="0.3">
      <c r="A58" t="s">
        <v>98</v>
      </c>
      <c r="B58" t="s">
        <v>14</v>
      </c>
      <c r="C58" t="s">
        <v>15</v>
      </c>
      <c r="D58">
        <v>18075.189999999999</v>
      </c>
      <c r="E58">
        <v>5</v>
      </c>
      <c r="F58">
        <v>90375.95</v>
      </c>
      <c r="G58" s="1">
        <v>45538</v>
      </c>
      <c r="H58" t="s">
        <v>12</v>
      </c>
      <c r="I58">
        <v>1.7</v>
      </c>
    </row>
    <row r="59" spans="1:9" x14ac:dyDescent="0.3">
      <c r="A59" t="s">
        <v>99</v>
      </c>
      <c r="B59" t="s">
        <v>100</v>
      </c>
      <c r="C59" t="s">
        <v>11</v>
      </c>
      <c r="D59">
        <v>18830.59</v>
      </c>
      <c r="E59">
        <v>4</v>
      </c>
      <c r="F59">
        <v>75322.36</v>
      </c>
      <c r="G59" s="1">
        <v>45428</v>
      </c>
      <c r="H59" t="s">
        <v>56</v>
      </c>
      <c r="I59">
        <v>3.6</v>
      </c>
    </row>
    <row r="60" spans="1:9" x14ac:dyDescent="0.3">
      <c r="A60" t="s">
        <v>101</v>
      </c>
      <c r="B60" t="s">
        <v>82</v>
      </c>
      <c r="C60" t="s">
        <v>22</v>
      </c>
      <c r="D60">
        <v>38476.480000000003</v>
      </c>
      <c r="E60">
        <v>4</v>
      </c>
      <c r="F60">
        <v>153905.92000000001</v>
      </c>
      <c r="G60" s="1">
        <v>45534</v>
      </c>
      <c r="H60" t="s">
        <v>47</v>
      </c>
      <c r="I60">
        <v>2</v>
      </c>
    </row>
    <row r="61" spans="1:9" x14ac:dyDescent="0.3">
      <c r="A61" t="s">
        <v>102</v>
      </c>
      <c r="B61" t="s">
        <v>71</v>
      </c>
      <c r="C61" t="s">
        <v>22</v>
      </c>
      <c r="D61">
        <v>27120.36</v>
      </c>
      <c r="E61">
        <v>2</v>
      </c>
      <c r="F61">
        <v>54240.72</v>
      </c>
      <c r="G61" s="1">
        <v>45456</v>
      </c>
      <c r="H61" t="s">
        <v>47</v>
      </c>
      <c r="I61">
        <v>3.8</v>
      </c>
    </row>
    <row r="62" spans="1:9" x14ac:dyDescent="0.3">
      <c r="A62" t="s">
        <v>103</v>
      </c>
      <c r="B62" t="s">
        <v>50</v>
      </c>
      <c r="C62" t="s">
        <v>11</v>
      </c>
      <c r="D62">
        <v>31627</v>
      </c>
      <c r="E62">
        <v>5</v>
      </c>
      <c r="F62">
        <v>158135</v>
      </c>
      <c r="G62" s="1">
        <v>45501</v>
      </c>
      <c r="H62" t="s">
        <v>12</v>
      </c>
      <c r="I62">
        <v>3.1</v>
      </c>
    </row>
    <row r="63" spans="1:9" x14ac:dyDescent="0.3">
      <c r="A63" t="s">
        <v>104</v>
      </c>
      <c r="B63" t="s">
        <v>46</v>
      </c>
      <c r="C63" t="s">
        <v>11</v>
      </c>
      <c r="D63">
        <v>14505.79</v>
      </c>
      <c r="E63">
        <v>3</v>
      </c>
      <c r="F63">
        <v>43517.37</v>
      </c>
      <c r="G63" s="1">
        <v>45483</v>
      </c>
      <c r="H63" t="s">
        <v>16</v>
      </c>
      <c r="I63">
        <v>3.9</v>
      </c>
    </row>
    <row r="64" spans="1:9" x14ac:dyDescent="0.3">
      <c r="A64" t="s">
        <v>105</v>
      </c>
      <c r="B64" t="s">
        <v>21</v>
      </c>
      <c r="C64" t="s">
        <v>22</v>
      </c>
      <c r="D64">
        <v>15229.67</v>
      </c>
      <c r="E64">
        <v>3</v>
      </c>
      <c r="F64">
        <v>45689.01</v>
      </c>
      <c r="G64" s="1">
        <v>45494</v>
      </c>
      <c r="H64" t="s">
        <v>47</v>
      </c>
      <c r="I64">
        <v>2.7</v>
      </c>
    </row>
    <row r="65" spans="1:9" x14ac:dyDescent="0.3">
      <c r="A65" t="s">
        <v>106</v>
      </c>
      <c r="B65" t="s">
        <v>32</v>
      </c>
      <c r="C65" t="s">
        <v>25</v>
      </c>
      <c r="D65">
        <v>2158.12</v>
      </c>
      <c r="E65">
        <v>3</v>
      </c>
      <c r="F65">
        <v>6474.36</v>
      </c>
      <c r="G65" s="1">
        <v>45659</v>
      </c>
      <c r="H65" t="s">
        <v>42</v>
      </c>
      <c r="I65">
        <v>3.4</v>
      </c>
    </row>
    <row r="66" spans="1:9" x14ac:dyDescent="0.3">
      <c r="A66" t="s">
        <v>107</v>
      </c>
      <c r="B66" t="s">
        <v>40</v>
      </c>
      <c r="C66" t="s">
        <v>19</v>
      </c>
      <c r="D66">
        <v>11106.19</v>
      </c>
      <c r="E66">
        <v>2</v>
      </c>
      <c r="F66">
        <v>22212.38</v>
      </c>
      <c r="G66" s="1">
        <v>45648</v>
      </c>
      <c r="H66" t="s">
        <v>28</v>
      </c>
      <c r="I66">
        <v>1.1000000000000001</v>
      </c>
    </row>
    <row r="67" spans="1:9" x14ac:dyDescent="0.3">
      <c r="A67" t="s">
        <v>108</v>
      </c>
      <c r="B67" t="s">
        <v>10</v>
      </c>
      <c r="C67" t="s">
        <v>11</v>
      </c>
      <c r="D67">
        <v>21690.55</v>
      </c>
      <c r="E67">
        <v>2</v>
      </c>
      <c r="F67">
        <v>43381.1</v>
      </c>
      <c r="G67" s="1">
        <v>45624</v>
      </c>
      <c r="H67" t="s">
        <v>47</v>
      </c>
      <c r="I67">
        <v>1.9</v>
      </c>
    </row>
    <row r="68" spans="1:9" x14ac:dyDescent="0.3">
      <c r="A68" t="s">
        <v>109</v>
      </c>
      <c r="B68" t="s">
        <v>69</v>
      </c>
      <c r="C68" t="s">
        <v>19</v>
      </c>
      <c r="D68">
        <v>4225.6899999999996</v>
      </c>
      <c r="E68">
        <v>4</v>
      </c>
      <c r="F68">
        <v>16902.759999999998</v>
      </c>
      <c r="G68" s="1">
        <v>45418</v>
      </c>
      <c r="H68" t="s">
        <v>47</v>
      </c>
      <c r="I68">
        <v>2.5</v>
      </c>
    </row>
    <row r="69" spans="1:9" x14ac:dyDescent="0.3">
      <c r="A69" t="s">
        <v>110</v>
      </c>
      <c r="B69" t="s">
        <v>21</v>
      </c>
      <c r="C69" t="s">
        <v>22</v>
      </c>
      <c r="D69">
        <v>23621.02</v>
      </c>
      <c r="E69">
        <v>1</v>
      </c>
      <c r="F69">
        <v>23621.02</v>
      </c>
      <c r="G69" s="1">
        <v>45348</v>
      </c>
      <c r="H69" t="s">
        <v>28</v>
      </c>
      <c r="I69">
        <v>4.7</v>
      </c>
    </row>
    <row r="70" spans="1:9" x14ac:dyDescent="0.3">
      <c r="A70" t="s">
        <v>111</v>
      </c>
      <c r="B70" t="s">
        <v>10</v>
      </c>
      <c r="C70" t="s">
        <v>11</v>
      </c>
      <c r="D70">
        <v>38937.919999999998</v>
      </c>
      <c r="E70">
        <v>3</v>
      </c>
      <c r="F70">
        <v>116813.75999999999</v>
      </c>
      <c r="G70" s="1">
        <v>45390</v>
      </c>
      <c r="H70" t="s">
        <v>47</v>
      </c>
      <c r="I70">
        <v>3.4</v>
      </c>
    </row>
    <row r="71" spans="1:9" x14ac:dyDescent="0.3">
      <c r="A71" t="s">
        <v>112</v>
      </c>
      <c r="B71" t="s">
        <v>24</v>
      </c>
      <c r="C71" t="s">
        <v>25</v>
      </c>
      <c r="D71">
        <v>2707.97</v>
      </c>
      <c r="E71">
        <v>1</v>
      </c>
      <c r="F71">
        <v>2707.97</v>
      </c>
      <c r="G71" s="1">
        <v>45410</v>
      </c>
      <c r="H71" t="s">
        <v>56</v>
      </c>
      <c r="I71">
        <v>1.2</v>
      </c>
    </row>
    <row r="72" spans="1:9" x14ac:dyDescent="0.3">
      <c r="A72" t="s">
        <v>113</v>
      </c>
      <c r="B72" t="s">
        <v>18</v>
      </c>
      <c r="C72" t="s">
        <v>19</v>
      </c>
      <c r="D72">
        <v>23715.42</v>
      </c>
      <c r="E72">
        <v>4</v>
      </c>
      <c r="F72">
        <v>94861.68</v>
      </c>
      <c r="G72" s="1">
        <v>45375</v>
      </c>
      <c r="H72" t="s">
        <v>42</v>
      </c>
      <c r="I72">
        <v>2</v>
      </c>
    </row>
    <row r="73" spans="1:9" x14ac:dyDescent="0.3">
      <c r="A73" t="s">
        <v>114</v>
      </c>
      <c r="B73" t="s">
        <v>36</v>
      </c>
      <c r="C73" t="s">
        <v>22</v>
      </c>
      <c r="D73">
        <v>9083.5</v>
      </c>
      <c r="E73">
        <v>2</v>
      </c>
      <c r="F73">
        <v>18167</v>
      </c>
      <c r="G73" s="1">
        <v>45478</v>
      </c>
      <c r="H73" t="s">
        <v>16</v>
      </c>
      <c r="I73">
        <v>1.8</v>
      </c>
    </row>
    <row r="74" spans="1:9" x14ac:dyDescent="0.3">
      <c r="A74" t="s">
        <v>115</v>
      </c>
      <c r="B74" t="s">
        <v>40</v>
      </c>
      <c r="C74" t="s">
        <v>19</v>
      </c>
      <c r="D74">
        <v>26379.35</v>
      </c>
      <c r="E74">
        <v>4</v>
      </c>
      <c r="F74">
        <v>105517.4</v>
      </c>
      <c r="G74" s="1">
        <v>45542</v>
      </c>
      <c r="H74" t="s">
        <v>16</v>
      </c>
      <c r="I74">
        <v>3</v>
      </c>
    </row>
    <row r="75" spans="1:9" x14ac:dyDescent="0.3">
      <c r="A75" t="s">
        <v>116</v>
      </c>
      <c r="B75" t="s">
        <v>34</v>
      </c>
      <c r="C75" t="s">
        <v>15</v>
      </c>
      <c r="D75">
        <v>34023.96</v>
      </c>
      <c r="E75">
        <v>3</v>
      </c>
      <c r="F75">
        <v>102071.88</v>
      </c>
      <c r="G75" s="1">
        <v>45335</v>
      </c>
      <c r="H75" t="s">
        <v>47</v>
      </c>
      <c r="I75">
        <v>4.5999999999999996</v>
      </c>
    </row>
    <row r="76" spans="1:9" x14ac:dyDescent="0.3">
      <c r="A76" t="s">
        <v>117</v>
      </c>
      <c r="B76" t="s">
        <v>30</v>
      </c>
      <c r="C76" t="s">
        <v>15</v>
      </c>
      <c r="D76">
        <v>1542.1</v>
      </c>
      <c r="E76">
        <v>4</v>
      </c>
      <c r="F76">
        <v>6168.4</v>
      </c>
      <c r="G76" s="1">
        <v>45529</v>
      </c>
      <c r="H76" t="s">
        <v>47</v>
      </c>
      <c r="I76">
        <v>1</v>
      </c>
    </row>
    <row r="77" spans="1:9" x14ac:dyDescent="0.3">
      <c r="A77" t="s">
        <v>118</v>
      </c>
      <c r="B77" t="s">
        <v>93</v>
      </c>
      <c r="C77" t="s">
        <v>11</v>
      </c>
      <c r="D77">
        <v>42981.08</v>
      </c>
      <c r="E77">
        <v>3</v>
      </c>
      <c r="F77">
        <v>128943.24</v>
      </c>
      <c r="G77" s="1">
        <v>45376</v>
      </c>
      <c r="H77" t="s">
        <v>42</v>
      </c>
      <c r="I77">
        <v>3.8</v>
      </c>
    </row>
    <row r="78" spans="1:9" x14ac:dyDescent="0.3">
      <c r="A78" t="s">
        <v>119</v>
      </c>
      <c r="B78" t="s">
        <v>120</v>
      </c>
      <c r="C78" t="s">
        <v>25</v>
      </c>
      <c r="D78">
        <v>46338.29</v>
      </c>
      <c r="E78">
        <v>5</v>
      </c>
      <c r="F78">
        <v>231691.45</v>
      </c>
      <c r="G78" s="1">
        <v>45373</v>
      </c>
      <c r="H78" t="s">
        <v>42</v>
      </c>
      <c r="I78">
        <v>3.4</v>
      </c>
    </row>
    <row r="79" spans="1:9" x14ac:dyDescent="0.3">
      <c r="A79" t="s">
        <v>121</v>
      </c>
      <c r="B79" t="s">
        <v>82</v>
      </c>
      <c r="C79" t="s">
        <v>22</v>
      </c>
      <c r="D79">
        <v>34161.440000000002</v>
      </c>
      <c r="E79">
        <v>1</v>
      </c>
      <c r="F79">
        <v>34161.440000000002</v>
      </c>
      <c r="G79" s="1">
        <v>45473</v>
      </c>
      <c r="H79" t="s">
        <v>28</v>
      </c>
      <c r="I79">
        <v>2.4</v>
      </c>
    </row>
    <row r="80" spans="1:9" x14ac:dyDescent="0.3">
      <c r="A80" t="s">
        <v>122</v>
      </c>
      <c r="B80" t="s">
        <v>40</v>
      </c>
      <c r="C80" t="s">
        <v>19</v>
      </c>
      <c r="D80">
        <v>21317.31</v>
      </c>
      <c r="E80">
        <v>5</v>
      </c>
      <c r="F80">
        <v>106586.55</v>
      </c>
      <c r="G80" s="1">
        <v>45489</v>
      </c>
      <c r="H80" t="s">
        <v>47</v>
      </c>
      <c r="I80">
        <v>4</v>
      </c>
    </row>
    <row r="81" spans="1:9" x14ac:dyDescent="0.3">
      <c r="A81" t="s">
        <v>123</v>
      </c>
      <c r="B81" t="s">
        <v>18</v>
      </c>
      <c r="C81" t="s">
        <v>19</v>
      </c>
      <c r="D81">
        <v>46011.839999999997</v>
      </c>
      <c r="E81">
        <v>4</v>
      </c>
      <c r="F81">
        <v>184047.35999999999</v>
      </c>
      <c r="G81" s="1">
        <v>45413</v>
      </c>
      <c r="H81" t="s">
        <v>42</v>
      </c>
      <c r="I81">
        <v>3.3</v>
      </c>
    </row>
    <row r="82" spans="1:9" x14ac:dyDescent="0.3">
      <c r="A82" t="s">
        <v>124</v>
      </c>
      <c r="B82" t="s">
        <v>38</v>
      </c>
      <c r="C82" t="s">
        <v>19</v>
      </c>
      <c r="D82">
        <v>2097.9899999999998</v>
      </c>
      <c r="E82">
        <v>1</v>
      </c>
      <c r="F82">
        <v>2097.9899999999998</v>
      </c>
      <c r="G82" s="1">
        <v>45697</v>
      </c>
      <c r="H82" t="s">
        <v>12</v>
      </c>
      <c r="I82">
        <v>3.2</v>
      </c>
    </row>
    <row r="83" spans="1:9" x14ac:dyDescent="0.3">
      <c r="A83" t="s">
        <v>125</v>
      </c>
      <c r="B83" t="s">
        <v>44</v>
      </c>
      <c r="C83" t="s">
        <v>22</v>
      </c>
      <c r="D83">
        <v>17104.91</v>
      </c>
      <c r="E83">
        <v>3</v>
      </c>
      <c r="F83">
        <v>51314.73</v>
      </c>
      <c r="G83" s="1">
        <v>45636</v>
      </c>
      <c r="H83" t="s">
        <v>47</v>
      </c>
      <c r="I83">
        <v>2.7</v>
      </c>
    </row>
    <row r="84" spans="1:9" x14ac:dyDescent="0.3">
      <c r="A84" t="s">
        <v>126</v>
      </c>
      <c r="B84" t="s">
        <v>120</v>
      </c>
      <c r="C84" t="s">
        <v>25</v>
      </c>
      <c r="D84">
        <v>29326.6</v>
      </c>
      <c r="E84">
        <v>3</v>
      </c>
      <c r="F84">
        <v>87979.8</v>
      </c>
      <c r="G84" s="1">
        <v>45603</v>
      </c>
      <c r="H84" t="s">
        <v>47</v>
      </c>
      <c r="I84">
        <v>4.9000000000000004</v>
      </c>
    </row>
    <row r="85" spans="1:9" x14ac:dyDescent="0.3">
      <c r="A85" t="s">
        <v>127</v>
      </c>
      <c r="B85" t="s">
        <v>82</v>
      </c>
      <c r="C85" t="s">
        <v>22</v>
      </c>
      <c r="D85">
        <v>28892.73</v>
      </c>
      <c r="E85">
        <v>4</v>
      </c>
      <c r="F85">
        <v>115570.92</v>
      </c>
      <c r="G85" s="1">
        <v>45607</v>
      </c>
      <c r="H85" t="s">
        <v>42</v>
      </c>
      <c r="I85">
        <v>1.3</v>
      </c>
    </row>
    <row r="86" spans="1:9" x14ac:dyDescent="0.3">
      <c r="A86" t="s">
        <v>128</v>
      </c>
      <c r="B86" t="s">
        <v>36</v>
      </c>
      <c r="C86" t="s">
        <v>22</v>
      </c>
      <c r="D86">
        <v>35033.120000000003</v>
      </c>
      <c r="E86">
        <v>4</v>
      </c>
      <c r="F86">
        <v>140132.48000000001</v>
      </c>
      <c r="G86" s="1">
        <v>45629</v>
      </c>
      <c r="H86" t="s">
        <v>16</v>
      </c>
      <c r="I86">
        <v>4.7</v>
      </c>
    </row>
    <row r="87" spans="1:9" x14ac:dyDescent="0.3">
      <c r="A87" t="s">
        <v>129</v>
      </c>
      <c r="B87" t="s">
        <v>14</v>
      </c>
      <c r="C87" t="s">
        <v>15</v>
      </c>
      <c r="D87">
        <v>40069.300000000003</v>
      </c>
      <c r="E87">
        <v>3</v>
      </c>
      <c r="F87">
        <v>120207.9</v>
      </c>
      <c r="G87" s="1">
        <v>45592</v>
      </c>
      <c r="H87" t="s">
        <v>12</v>
      </c>
      <c r="I87">
        <v>2.4</v>
      </c>
    </row>
    <row r="88" spans="1:9" x14ac:dyDescent="0.3">
      <c r="A88" t="s">
        <v>130</v>
      </c>
      <c r="B88" t="s">
        <v>46</v>
      </c>
      <c r="C88" t="s">
        <v>11</v>
      </c>
      <c r="D88">
        <v>20613.14</v>
      </c>
      <c r="E88">
        <v>4</v>
      </c>
      <c r="F88">
        <v>82452.56</v>
      </c>
      <c r="G88" s="1">
        <v>45442</v>
      </c>
      <c r="H88" t="s">
        <v>16</v>
      </c>
      <c r="I88">
        <v>3.4</v>
      </c>
    </row>
    <row r="89" spans="1:9" x14ac:dyDescent="0.3">
      <c r="A89" t="s">
        <v>131</v>
      </c>
      <c r="B89" t="s">
        <v>24</v>
      </c>
      <c r="C89" t="s">
        <v>25</v>
      </c>
      <c r="D89">
        <v>3432</v>
      </c>
      <c r="E89">
        <v>5</v>
      </c>
      <c r="F89">
        <v>17160</v>
      </c>
      <c r="G89" s="1">
        <v>45394</v>
      </c>
      <c r="H89" t="s">
        <v>47</v>
      </c>
      <c r="I89">
        <v>3.4</v>
      </c>
    </row>
    <row r="90" spans="1:9" x14ac:dyDescent="0.3">
      <c r="A90" t="s">
        <v>132</v>
      </c>
      <c r="B90" t="s">
        <v>75</v>
      </c>
      <c r="C90" t="s">
        <v>19</v>
      </c>
      <c r="D90">
        <v>25752.65</v>
      </c>
      <c r="E90">
        <v>3</v>
      </c>
      <c r="F90">
        <v>77257.95</v>
      </c>
      <c r="G90" s="1">
        <v>45471</v>
      </c>
      <c r="H90" t="s">
        <v>56</v>
      </c>
      <c r="I90">
        <v>2.5</v>
      </c>
    </row>
    <row r="91" spans="1:9" x14ac:dyDescent="0.3">
      <c r="A91" t="s">
        <v>133</v>
      </c>
      <c r="B91" t="s">
        <v>21</v>
      </c>
      <c r="C91" t="s">
        <v>22</v>
      </c>
      <c r="D91">
        <v>30238.47</v>
      </c>
      <c r="E91">
        <v>2</v>
      </c>
      <c r="F91">
        <v>60476.94</v>
      </c>
      <c r="G91" s="1">
        <v>45559</v>
      </c>
      <c r="H91" t="s">
        <v>56</v>
      </c>
      <c r="I91">
        <v>4</v>
      </c>
    </row>
    <row r="92" spans="1:9" x14ac:dyDescent="0.3">
      <c r="A92" t="s">
        <v>134</v>
      </c>
      <c r="B92" t="s">
        <v>60</v>
      </c>
      <c r="C92" t="s">
        <v>25</v>
      </c>
      <c r="D92">
        <v>34293.379999999997</v>
      </c>
      <c r="E92">
        <v>4</v>
      </c>
      <c r="F92">
        <v>137173.51999999999</v>
      </c>
      <c r="G92" s="1">
        <v>45383</v>
      </c>
      <c r="H92" t="s">
        <v>56</v>
      </c>
      <c r="I92">
        <v>4.4000000000000004</v>
      </c>
    </row>
    <row r="93" spans="1:9" x14ac:dyDescent="0.3">
      <c r="A93" t="s">
        <v>135</v>
      </c>
      <c r="B93" t="s">
        <v>38</v>
      </c>
      <c r="C93" t="s">
        <v>19</v>
      </c>
      <c r="D93">
        <v>19498.32</v>
      </c>
      <c r="E93">
        <v>2</v>
      </c>
      <c r="F93">
        <v>38996.639999999999</v>
      </c>
      <c r="G93" s="1">
        <v>45619</v>
      </c>
      <c r="H93" t="s">
        <v>47</v>
      </c>
      <c r="I93">
        <v>3.6</v>
      </c>
    </row>
    <row r="94" spans="1:9" x14ac:dyDescent="0.3">
      <c r="A94" t="s">
        <v>136</v>
      </c>
      <c r="B94" t="s">
        <v>54</v>
      </c>
      <c r="C94" t="s">
        <v>15</v>
      </c>
      <c r="D94">
        <v>39355.589999999997</v>
      </c>
      <c r="E94">
        <v>1</v>
      </c>
      <c r="F94">
        <v>39355.589999999997</v>
      </c>
      <c r="G94" s="1">
        <v>45587</v>
      </c>
      <c r="H94" t="s">
        <v>28</v>
      </c>
      <c r="I94">
        <v>2.9</v>
      </c>
    </row>
    <row r="95" spans="1:9" x14ac:dyDescent="0.3">
      <c r="A95" t="s">
        <v>137</v>
      </c>
      <c r="B95" t="s">
        <v>50</v>
      </c>
      <c r="C95" t="s">
        <v>11</v>
      </c>
      <c r="D95">
        <v>26575.86</v>
      </c>
      <c r="E95">
        <v>2</v>
      </c>
      <c r="F95">
        <v>53151.72</v>
      </c>
      <c r="G95" s="1">
        <v>45435</v>
      </c>
      <c r="H95" t="s">
        <v>28</v>
      </c>
      <c r="I95">
        <v>2</v>
      </c>
    </row>
    <row r="96" spans="1:9" x14ac:dyDescent="0.3">
      <c r="A96" t="s">
        <v>138</v>
      </c>
      <c r="B96" t="s">
        <v>82</v>
      </c>
      <c r="C96" t="s">
        <v>22</v>
      </c>
      <c r="D96">
        <v>12506.31</v>
      </c>
      <c r="E96">
        <v>3</v>
      </c>
      <c r="F96">
        <v>37518.93</v>
      </c>
      <c r="G96" s="1">
        <v>45669</v>
      </c>
      <c r="H96" t="s">
        <v>16</v>
      </c>
      <c r="I96">
        <v>1.4</v>
      </c>
    </row>
    <row r="97" spans="1:9" x14ac:dyDescent="0.3">
      <c r="A97" t="s">
        <v>139</v>
      </c>
      <c r="B97" t="s">
        <v>54</v>
      </c>
      <c r="C97" t="s">
        <v>15</v>
      </c>
      <c r="D97">
        <v>19180.77</v>
      </c>
      <c r="E97">
        <v>3</v>
      </c>
      <c r="F97">
        <v>57542.31</v>
      </c>
      <c r="G97" s="1">
        <v>45685</v>
      </c>
      <c r="H97" t="s">
        <v>28</v>
      </c>
      <c r="I97">
        <v>3.9</v>
      </c>
    </row>
    <row r="98" spans="1:9" x14ac:dyDescent="0.3">
      <c r="A98" t="s">
        <v>140</v>
      </c>
      <c r="B98" t="s">
        <v>60</v>
      </c>
      <c r="C98" t="s">
        <v>25</v>
      </c>
      <c r="D98">
        <v>8877.51</v>
      </c>
      <c r="E98">
        <v>5</v>
      </c>
      <c r="F98">
        <v>44387.55</v>
      </c>
      <c r="G98" s="1">
        <v>45443</v>
      </c>
      <c r="H98" t="s">
        <v>16</v>
      </c>
      <c r="I98">
        <v>2.5</v>
      </c>
    </row>
    <row r="99" spans="1:9" x14ac:dyDescent="0.3">
      <c r="A99" t="s">
        <v>141</v>
      </c>
      <c r="B99" t="s">
        <v>30</v>
      </c>
      <c r="C99" t="s">
        <v>15</v>
      </c>
      <c r="D99">
        <v>32348.92</v>
      </c>
      <c r="E99">
        <v>2</v>
      </c>
      <c r="F99">
        <v>64697.84</v>
      </c>
      <c r="G99" s="1">
        <v>45690</v>
      </c>
      <c r="H99" t="s">
        <v>47</v>
      </c>
      <c r="I99">
        <v>3.1</v>
      </c>
    </row>
    <row r="100" spans="1:9" x14ac:dyDescent="0.3">
      <c r="A100" t="s">
        <v>142</v>
      </c>
      <c r="B100" t="s">
        <v>21</v>
      </c>
      <c r="C100" t="s">
        <v>22</v>
      </c>
      <c r="D100">
        <v>19375.759999999998</v>
      </c>
      <c r="E100">
        <v>2</v>
      </c>
      <c r="F100">
        <v>38751.519999999997</v>
      </c>
      <c r="G100" s="1">
        <v>45632</v>
      </c>
      <c r="H100" t="s">
        <v>47</v>
      </c>
      <c r="I100">
        <v>2.1</v>
      </c>
    </row>
    <row r="101" spans="1:9" x14ac:dyDescent="0.3">
      <c r="A101" t="s">
        <v>143</v>
      </c>
      <c r="B101" t="s">
        <v>10</v>
      </c>
      <c r="C101" t="s">
        <v>11</v>
      </c>
      <c r="D101">
        <v>48157.93</v>
      </c>
      <c r="E101">
        <v>1</v>
      </c>
      <c r="F101">
        <v>48157.93</v>
      </c>
      <c r="G101" s="1">
        <v>45540</v>
      </c>
      <c r="H101" t="s">
        <v>42</v>
      </c>
      <c r="I101">
        <v>2.4</v>
      </c>
    </row>
    <row r="102" spans="1:9" x14ac:dyDescent="0.3">
      <c r="A102" t="s">
        <v>144</v>
      </c>
      <c r="B102" t="s">
        <v>71</v>
      </c>
      <c r="C102" t="s">
        <v>22</v>
      </c>
      <c r="D102">
        <v>4360.05</v>
      </c>
      <c r="E102">
        <v>4</v>
      </c>
      <c r="F102">
        <v>17440.2</v>
      </c>
      <c r="G102" s="1">
        <v>45675</v>
      </c>
      <c r="H102" t="s">
        <v>28</v>
      </c>
      <c r="I102">
        <v>3.3</v>
      </c>
    </row>
    <row r="103" spans="1:9" x14ac:dyDescent="0.3">
      <c r="A103" t="s">
        <v>145</v>
      </c>
      <c r="B103" t="s">
        <v>34</v>
      </c>
      <c r="C103" t="s">
        <v>15</v>
      </c>
      <c r="D103">
        <v>38093.14</v>
      </c>
      <c r="E103">
        <v>1</v>
      </c>
      <c r="F103">
        <v>38093.14</v>
      </c>
      <c r="G103" s="1">
        <v>45587</v>
      </c>
      <c r="H103" t="s">
        <v>47</v>
      </c>
      <c r="I103">
        <v>3</v>
      </c>
    </row>
    <row r="104" spans="1:9" x14ac:dyDescent="0.3">
      <c r="A104" t="s">
        <v>146</v>
      </c>
      <c r="B104" t="s">
        <v>10</v>
      </c>
      <c r="C104" t="s">
        <v>11</v>
      </c>
      <c r="D104">
        <v>32788.199999999997</v>
      </c>
      <c r="E104">
        <v>5</v>
      </c>
      <c r="F104">
        <v>163941</v>
      </c>
      <c r="G104" s="1">
        <v>45480</v>
      </c>
      <c r="H104" t="s">
        <v>47</v>
      </c>
      <c r="I104">
        <v>4</v>
      </c>
    </row>
    <row r="105" spans="1:9" x14ac:dyDescent="0.3">
      <c r="A105" t="s">
        <v>147</v>
      </c>
      <c r="B105" t="s">
        <v>46</v>
      </c>
      <c r="C105" t="s">
        <v>11</v>
      </c>
      <c r="D105">
        <v>42715.55</v>
      </c>
      <c r="E105">
        <v>1</v>
      </c>
      <c r="F105">
        <v>42715.55</v>
      </c>
      <c r="G105" s="1">
        <v>45487</v>
      </c>
      <c r="H105" t="s">
        <v>47</v>
      </c>
      <c r="I105">
        <v>4.4000000000000004</v>
      </c>
    </row>
    <row r="106" spans="1:9" x14ac:dyDescent="0.3">
      <c r="A106" t="s">
        <v>148</v>
      </c>
      <c r="B106" t="s">
        <v>38</v>
      </c>
      <c r="C106" t="s">
        <v>19</v>
      </c>
      <c r="D106">
        <v>28758.42</v>
      </c>
      <c r="E106">
        <v>5</v>
      </c>
      <c r="F106">
        <v>143792.1</v>
      </c>
      <c r="G106" s="1">
        <v>45557</v>
      </c>
      <c r="H106" t="s">
        <v>56</v>
      </c>
      <c r="I106">
        <v>3.7</v>
      </c>
    </row>
    <row r="107" spans="1:9" x14ac:dyDescent="0.3">
      <c r="A107" t="s">
        <v>149</v>
      </c>
      <c r="B107" t="s">
        <v>10</v>
      </c>
      <c r="C107" t="s">
        <v>11</v>
      </c>
      <c r="D107">
        <v>22555.21</v>
      </c>
      <c r="E107">
        <v>2</v>
      </c>
      <c r="F107">
        <v>45110.42</v>
      </c>
      <c r="G107" s="1">
        <v>45422</v>
      </c>
      <c r="H107" t="s">
        <v>16</v>
      </c>
      <c r="I107">
        <v>4.3</v>
      </c>
    </row>
    <row r="108" spans="1:9" x14ac:dyDescent="0.3">
      <c r="A108" t="s">
        <v>150</v>
      </c>
      <c r="B108" t="s">
        <v>151</v>
      </c>
      <c r="C108" t="s">
        <v>15</v>
      </c>
      <c r="D108">
        <v>33613.18</v>
      </c>
      <c r="E108">
        <v>1</v>
      </c>
      <c r="F108">
        <v>33613.18</v>
      </c>
      <c r="G108" s="1">
        <v>45528</v>
      </c>
      <c r="H108" t="s">
        <v>28</v>
      </c>
      <c r="I108">
        <v>3.5</v>
      </c>
    </row>
    <row r="109" spans="1:9" x14ac:dyDescent="0.3">
      <c r="A109" t="s">
        <v>152</v>
      </c>
      <c r="B109" t="s">
        <v>54</v>
      </c>
      <c r="C109" t="s">
        <v>15</v>
      </c>
      <c r="D109">
        <v>44639</v>
      </c>
      <c r="E109">
        <v>5</v>
      </c>
      <c r="F109">
        <v>223195</v>
      </c>
      <c r="G109" s="1">
        <v>45416</v>
      </c>
      <c r="H109" t="s">
        <v>47</v>
      </c>
      <c r="I109">
        <v>1.1000000000000001</v>
      </c>
    </row>
    <row r="110" spans="1:9" x14ac:dyDescent="0.3">
      <c r="A110" t="s">
        <v>153</v>
      </c>
      <c r="B110" t="s">
        <v>14</v>
      </c>
      <c r="C110" t="s">
        <v>15</v>
      </c>
      <c r="D110">
        <v>11785.4</v>
      </c>
      <c r="E110">
        <v>5</v>
      </c>
      <c r="F110">
        <v>58927</v>
      </c>
      <c r="G110" s="1">
        <v>45468</v>
      </c>
      <c r="H110" t="s">
        <v>28</v>
      </c>
      <c r="I110">
        <v>1.6</v>
      </c>
    </row>
    <row r="111" spans="1:9" x14ac:dyDescent="0.3">
      <c r="A111" t="s">
        <v>154</v>
      </c>
      <c r="B111" t="s">
        <v>100</v>
      </c>
      <c r="C111" t="s">
        <v>11</v>
      </c>
      <c r="D111">
        <v>30826.720000000001</v>
      </c>
      <c r="E111">
        <v>1</v>
      </c>
      <c r="F111">
        <v>30826.720000000001</v>
      </c>
      <c r="G111" s="1">
        <v>45508</v>
      </c>
      <c r="H111" t="s">
        <v>16</v>
      </c>
      <c r="I111">
        <v>3.9</v>
      </c>
    </row>
    <row r="112" spans="1:9" x14ac:dyDescent="0.3">
      <c r="A112" t="s">
        <v>155</v>
      </c>
      <c r="B112" t="s">
        <v>34</v>
      </c>
      <c r="C112" t="s">
        <v>15</v>
      </c>
      <c r="D112">
        <v>35811.1</v>
      </c>
      <c r="E112">
        <v>4</v>
      </c>
      <c r="F112">
        <v>143244.4</v>
      </c>
      <c r="G112" s="1">
        <v>45546</v>
      </c>
      <c r="H112" t="s">
        <v>56</v>
      </c>
      <c r="I112">
        <v>1.9</v>
      </c>
    </row>
    <row r="113" spans="1:9" x14ac:dyDescent="0.3">
      <c r="A113" t="s">
        <v>156</v>
      </c>
      <c r="B113" t="s">
        <v>75</v>
      </c>
      <c r="C113" t="s">
        <v>19</v>
      </c>
      <c r="D113">
        <v>45387.99</v>
      </c>
      <c r="E113">
        <v>3</v>
      </c>
      <c r="F113">
        <v>136163.97</v>
      </c>
      <c r="G113" s="1">
        <v>45649</v>
      </c>
      <c r="H113" t="s">
        <v>42</v>
      </c>
      <c r="I113">
        <v>4.8</v>
      </c>
    </row>
    <row r="114" spans="1:9" x14ac:dyDescent="0.3">
      <c r="A114" t="s">
        <v>157</v>
      </c>
      <c r="B114" t="s">
        <v>120</v>
      </c>
      <c r="C114" t="s">
        <v>25</v>
      </c>
      <c r="D114">
        <v>39263.94</v>
      </c>
      <c r="E114">
        <v>5</v>
      </c>
      <c r="F114">
        <v>196319.7</v>
      </c>
      <c r="G114" s="1">
        <v>45509</v>
      </c>
      <c r="H114" t="s">
        <v>28</v>
      </c>
      <c r="I114">
        <v>3.8</v>
      </c>
    </row>
    <row r="115" spans="1:9" x14ac:dyDescent="0.3">
      <c r="A115" t="s">
        <v>158</v>
      </c>
      <c r="B115" t="s">
        <v>10</v>
      </c>
      <c r="C115" t="s">
        <v>11</v>
      </c>
      <c r="D115">
        <v>19787.61</v>
      </c>
      <c r="E115">
        <v>1</v>
      </c>
      <c r="F115">
        <v>19787.61</v>
      </c>
      <c r="G115" s="1">
        <v>45572</v>
      </c>
      <c r="H115" t="s">
        <v>12</v>
      </c>
      <c r="I115">
        <v>3.9</v>
      </c>
    </row>
    <row r="116" spans="1:9" x14ac:dyDescent="0.3">
      <c r="A116" t="s">
        <v>159</v>
      </c>
      <c r="B116" t="s">
        <v>34</v>
      </c>
      <c r="C116" t="s">
        <v>15</v>
      </c>
      <c r="D116">
        <v>26219.99</v>
      </c>
      <c r="E116">
        <v>4</v>
      </c>
      <c r="F116">
        <v>104879.96</v>
      </c>
      <c r="G116" s="1">
        <v>45365</v>
      </c>
      <c r="H116" t="s">
        <v>12</v>
      </c>
      <c r="I116">
        <v>2.1</v>
      </c>
    </row>
    <row r="117" spans="1:9" x14ac:dyDescent="0.3">
      <c r="A117" t="s">
        <v>160</v>
      </c>
      <c r="B117" t="s">
        <v>40</v>
      </c>
      <c r="C117" t="s">
        <v>19</v>
      </c>
      <c r="D117">
        <v>14286.02</v>
      </c>
      <c r="E117">
        <v>4</v>
      </c>
      <c r="F117">
        <v>57144.08</v>
      </c>
      <c r="G117" s="1">
        <v>45437</v>
      </c>
      <c r="H117" t="s">
        <v>16</v>
      </c>
      <c r="I117">
        <v>3.7</v>
      </c>
    </row>
    <row r="118" spans="1:9" x14ac:dyDescent="0.3">
      <c r="A118" t="s">
        <v>161</v>
      </c>
      <c r="B118" t="s">
        <v>54</v>
      </c>
      <c r="C118" t="s">
        <v>15</v>
      </c>
      <c r="D118">
        <v>13019.07</v>
      </c>
      <c r="E118">
        <v>3</v>
      </c>
      <c r="F118">
        <v>39057.21</v>
      </c>
      <c r="G118" s="1">
        <v>45690</v>
      </c>
      <c r="H118" t="s">
        <v>47</v>
      </c>
      <c r="I118">
        <v>2.8</v>
      </c>
    </row>
    <row r="119" spans="1:9" x14ac:dyDescent="0.3">
      <c r="A119" t="s">
        <v>162</v>
      </c>
      <c r="B119" t="s">
        <v>18</v>
      </c>
      <c r="C119" t="s">
        <v>19</v>
      </c>
      <c r="D119">
        <v>43488.42</v>
      </c>
      <c r="E119">
        <v>3</v>
      </c>
      <c r="F119">
        <v>130465.26</v>
      </c>
      <c r="G119" s="1">
        <v>45491</v>
      </c>
      <c r="H119" t="s">
        <v>56</v>
      </c>
      <c r="I119">
        <v>3</v>
      </c>
    </row>
    <row r="120" spans="1:9" x14ac:dyDescent="0.3">
      <c r="A120" t="s">
        <v>163</v>
      </c>
      <c r="B120" t="s">
        <v>50</v>
      </c>
      <c r="C120" t="s">
        <v>11</v>
      </c>
      <c r="D120">
        <v>30903.49</v>
      </c>
      <c r="E120">
        <v>4</v>
      </c>
      <c r="F120">
        <v>123613.96</v>
      </c>
      <c r="G120" s="1">
        <v>45545</v>
      </c>
      <c r="H120" t="s">
        <v>56</v>
      </c>
      <c r="I120">
        <v>1.7</v>
      </c>
    </row>
    <row r="121" spans="1:9" x14ac:dyDescent="0.3">
      <c r="A121" t="s">
        <v>164</v>
      </c>
      <c r="B121" t="s">
        <v>32</v>
      </c>
      <c r="C121" t="s">
        <v>25</v>
      </c>
      <c r="D121">
        <v>37405.46</v>
      </c>
      <c r="E121">
        <v>4</v>
      </c>
      <c r="F121">
        <v>149621.84</v>
      </c>
      <c r="G121" s="1">
        <v>45672</v>
      </c>
      <c r="H121" t="s">
        <v>28</v>
      </c>
      <c r="I121">
        <v>1.3</v>
      </c>
    </row>
    <row r="122" spans="1:9" x14ac:dyDescent="0.3">
      <c r="A122" t="s">
        <v>165</v>
      </c>
      <c r="B122" t="s">
        <v>36</v>
      </c>
      <c r="C122" t="s">
        <v>22</v>
      </c>
      <c r="D122">
        <v>30593.67</v>
      </c>
      <c r="E122">
        <v>4</v>
      </c>
      <c r="F122">
        <v>122374.68</v>
      </c>
      <c r="G122" s="1">
        <v>45430</v>
      </c>
      <c r="H122" t="s">
        <v>42</v>
      </c>
      <c r="I122">
        <v>1.5</v>
      </c>
    </row>
    <row r="123" spans="1:9" x14ac:dyDescent="0.3">
      <c r="A123" t="s">
        <v>166</v>
      </c>
      <c r="B123" t="s">
        <v>82</v>
      </c>
      <c r="C123" t="s">
        <v>22</v>
      </c>
      <c r="D123">
        <v>28688.25</v>
      </c>
      <c r="E123">
        <v>3</v>
      </c>
      <c r="F123">
        <v>86064.75</v>
      </c>
      <c r="G123" s="1">
        <v>45439</v>
      </c>
      <c r="H123" t="s">
        <v>16</v>
      </c>
      <c r="I123">
        <v>2.4</v>
      </c>
    </row>
    <row r="124" spans="1:9" x14ac:dyDescent="0.3">
      <c r="A124" t="s">
        <v>167</v>
      </c>
      <c r="B124" t="s">
        <v>69</v>
      </c>
      <c r="C124" t="s">
        <v>19</v>
      </c>
      <c r="D124">
        <v>12158.96</v>
      </c>
      <c r="E124">
        <v>3</v>
      </c>
      <c r="F124">
        <v>36476.879999999997</v>
      </c>
      <c r="G124" s="1">
        <v>45372</v>
      </c>
      <c r="H124" t="s">
        <v>56</v>
      </c>
      <c r="I124">
        <v>1.1000000000000001</v>
      </c>
    </row>
    <row r="125" spans="1:9" x14ac:dyDescent="0.3">
      <c r="A125" t="s">
        <v>168</v>
      </c>
      <c r="B125" t="s">
        <v>82</v>
      </c>
      <c r="C125" t="s">
        <v>22</v>
      </c>
      <c r="D125">
        <v>24500.05</v>
      </c>
      <c r="E125">
        <v>3</v>
      </c>
      <c r="F125">
        <v>73500.149999999994</v>
      </c>
      <c r="G125" s="1">
        <v>45403</v>
      </c>
      <c r="H125" t="s">
        <v>47</v>
      </c>
      <c r="I125">
        <v>4.4000000000000004</v>
      </c>
    </row>
    <row r="126" spans="1:9" x14ac:dyDescent="0.3">
      <c r="A126" t="s">
        <v>169</v>
      </c>
      <c r="B126" t="s">
        <v>32</v>
      </c>
      <c r="C126" t="s">
        <v>25</v>
      </c>
      <c r="D126">
        <v>44412.88</v>
      </c>
      <c r="E126">
        <v>3</v>
      </c>
      <c r="F126">
        <v>133238.64000000001</v>
      </c>
      <c r="G126" s="1">
        <v>45548</v>
      </c>
      <c r="H126" t="s">
        <v>42</v>
      </c>
      <c r="I126">
        <v>1.4</v>
      </c>
    </row>
    <row r="127" spans="1:9" x14ac:dyDescent="0.3">
      <c r="A127" t="s">
        <v>170</v>
      </c>
      <c r="B127" t="s">
        <v>44</v>
      </c>
      <c r="C127" t="s">
        <v>22</v>
      </c>
      <c r="D127">
        <v>26615.97</v>
      </c>
      <c r="E127">
        <v>3</v>
      </c>
      <c r="F127">
        <v>79847.91</v>
      </c>
      <c r="G127" s="1">
        <v>45530</v>
      </c>
      <c r="H127" t="s">
        <v>56</v>
      </c>
      <c r="I127">
        <v>3.6</v>
      </c>
    </row>
    <row r="128" spans="1:9" x14ac:dyDescent="0.3">
      <c r="A128" t="s">
        <v>171</v>
      </c>
      <c r="B128" t="s">
        <v>34</v>
      </c>
      <c r="C128" t="s">
        <v>15</v>
      </c>
      <c r="D128">
        <v>3979.4</v>
      </c>
      <c r="E128">
        <v>1</v>
      </c>
      <c r="F128">
        <v>3979.4</v>
      </c>
      <c r="G128" s="1">
        <v>45567</v>
      </c>
      <c r="H128" t="s">
        <v>12</v>
      </c>
      <c r="I128">
        <v>4.5999999999999996</v>
      </c>
    </row>
    <row r="129" spans="1:9" x14ac:dyDescent="0.3">
      <c r="A129" t="s">
        <v>172</v>
      </c>
      <c r="B129" t="s">
        <v>38</v>
      </c>
      <c r="C129" t="s">
        <v>19</v>
      </c>
      <c r="D129">
        <v>49687.49</v>
      </c>
      <c r="E129">
        <v>2</v>
      </c>
      <c r="F129">
        <v>99374.98</v>
      </c>
      <c r="G129" s="1">
        <v>45414</v>
      </c>
      <c r="H129" t="s">
        <v>16</v>
      </c>
      <c r="I129">
        <v>2.5</v>
      </c>
    </row>
    <row r="130" spans="1:9" x14ac:dyDescent="0.3">
      <c r="A130" t="s">
        <v>173</v>
      </c>
      <c r="B130" t="s">
        <v>71</v>
      </c>
      <c r="C130" t="s">
        <v>22</v>
      </c>
      <c r="D130">
        <v>11289.42</v>
      </c>
      <c r="E130">
        <v>3</v>
      </c>
      <c r="F130">
        <v>33868.26</v>
      </c>
      <c r="G130" s="1">
        <v>45514</v>
      </c>
      <c r="H130" t="s">
        <v>16</v>
      </c>
      <c r="I130">
        <v>2.2999999999999998</v>
      </c>
    </row>
    <row r="131" spans="1:9" x14ac:dyDescent="0.3">
      <c r="A131" t="s">
        <v>174</v>
      </c>
      <c r="B131" t="s">
        <v>151</v>
      </c>
      <c r="C131" t="s">
        <v>15</v>
      </c>
      <c r="D131">
        <v>27309.73</v>
      </c>
      <c r="E131">
        <v>3</v>
      </c>
      <c r="F131">
        <v>81929.19</v>
      </c>
      <c r="G131" s="1">
        <v>45460</v>
      </c>
      <c r="H131" t="s">
        <v>56</v>
      </c>
      <c r="I131">
        <v>4</v>
      </c>
    </row>
    <row r="132" spans="1:9" x14ac:dyDescent="0.3">
      <c r="A132" t="s">
        <v>175</v>
      </c>
      <c r="B132" t="s">
        <v>71</v>
      </c>
      <c r="C132" t="s">
        <v>22</v>
      </c>
      <c r="D132">
        <v>30374.400000000001</v>
      </c>
      <c r="E132">
        <v>5</v>
      </c>
      <c r="F132">
        <v>151872</v>
      </c>
      <c r="G132" s="1">
        <v>45668</v>
      </c>
      <c r="H132" t="s">
        <v>56</v>
      </c>
      <c r="I132">
        <v>1.8</v>
      </c>
    </row>
    <row r="133" spans="1:9" x14ac:dyDescent="0.3">
      <c r="A133" t="s">
        <v>176</v>
      </c>
      <c r="B133" t="s">
        <v>75</v>
      </c>
      <c r="C133" t="s">
        <v>19</v>
      </c>
      <c r="D133">
        <v>15486.41</v>
      </c>
      <c r="E133">
        <v>4</v>
      </c>
      <c r="F133">
        <v>61945.64</v>
      </c>
      <c r="G133" s="1">
        <v>45402</v>
      </c>
      <c r="H133" t="s">
        <v>42</v>
      </c>
      <c r="I133">
        <v>5</v>
      </c>
    </row>
    <row r="134" spans="1:9" x14ac:dyDescent="0.3">
      <c r="A134" t="s">
        <v>177</v>
      </c>
      <c r="B134" t="s">
        <v>21</v>
      </c>
      <c r="C134" t="s">
        <v>22</v>
      </c>
      <c r="D134">
        <v>33698.339999999997</v>
      </c>
      <c r="E134">
        <v>1</v>
      </c>
      <c r="F134">
        <v>33698.339999999997</v>
      </c>
      <c r="G134" s="1">
        <v>45514</v>
      </c>
      <c r="H134" t="s">
        <v>12</v>
      </c>
      <c r="I134">
        <v>4.2</v>
      </c>
    </row>
    <row r="135" spans="1:9" x14ac:dyDescent="0.3">
      <c r="A135" t="s">
        <v>178</v>
      </c>
      <c r="B135" t="s">
        <v>151</v>
      </c>
      <c r="C135" t="s">
        <v>15</v>
      </c>
      <c r="D135">
        <v>42987.64</v>
      </c>
      <c r="E135">
        <v>5</v>
      </c>
      <c r="F135">
        <v>214938.2</v>
      </c>
      <c r="G135" s="1">
        <v>45381</v>
      </c>
      <c r="H135" t="s">
        <v>28</v>
      </c>
      <c r="I135">
        <v>3.7</v>
      </c>
    </row>
    <row r="136" spans="1:9" x14ac:dyDescent="0.3">
      <c r="A136" t="s">
        <v>179</v>
      </c>
      <c r="B136" t="s">
        <v>21</v>
      </c>
      <c r="C136" t="s">
        <v>22</v>
      </c>
      <c r="D136">
        <v>1104.25</v>
      </c>
      <c r="E136">
        <v>5</v>
      </c>
      <c r="F136">
        <v>5521.25</v>
      </c>
      <c r="G136" s="1">
        <v>45624</v>
      </c>
      <c r="H136" t="s">
        <v>16</v>
      </c>
      <c r="I136">
        <v>3.8</v>
      </c>
    </row>
    <row r="137" spans="1:9" x14ac:dyDescent="0.3">
      <c r="A137" t="s">
        <v>180</v>
      </c>
      <c r="B137" t="s">
        <v>34</v>
      </c>
      <c r="C137" t="s">
        <v>15</v>
      </c>
      <c r="D137">
        <v>14043.16</v>
      </c>
      <c r="E137">
        <v>4</v>
      </c>
      <c r="F137">
        <v>56172.639999999999</v>
      </c>
      <c r="G137" s="1">
        <v>45444</v>
      </c>
      <c r="H137" t="s">
        <v>28</v>
      </c>
      <c r="I137">
        <v>3.1</v>
      </c>
    </row>
    <row r="138" spans="1:9" x14ac:dyDescent="0.3">
      <c r="A138" t="s">
        <v>181</v>
      </c>
      <c r="B138" t="s">
        <v>50</v>
      </c>
      <c r="C138" t="s">
        <v>11</v>
      </c>
      <c r="D138">
        <v>24032.880000000001</v>
      </c>
      <c r="E138">
        <v>1</v>
      </c>
      <c r="F138">
        <v>24032.880000000001</v>
      </c>
      <c r="G138" s="1">
        <v>45593</v>
      </c>
      <c r="H138" t="s">
        <v>28</v>
      </c>
      <c r="I138">
        <v>3.8</v>
      </c>
    </row>
    <row r="139" spans="1:9" x14ac:dyDescent="0.3">
      <c r="A139" t="s">
        <v>182</v>
      </c>
      <c r="B139" t="s">
        <v>18</v>
      </c>
      <c r="C139" t="s">
        <v>19</v>
      </c>
      <c r="D139">
        <v>32283.58</v>
      </c>
      <c r="E139">
        <v>3</v>
      </c>
      <c r="F139">
        <v>96850.74</v>
      </c>
      <c r="G139" s="1">
        <v>45659</v>
      </c>
      <c r="H139" t="s">
        <v>42</v>
      </c>
      <c r="I139">
        <v>4.4000000000000004</v>
      </c>
    </row>
    <row r="140" spans="1:9" x14ac:dyDescent="0.3">
      <c r="A140" t="s">
        <v>183</v>
      </c>
      <c r="B140" t="s">
        <v>40</v>
      </c>
      <c r="C140" t="s">
        <v>19</v>
      </c>
      <c r="D140">
        <v>3848.54</v>
      </c>
      <c r="E140">
        <v>1</v>
      </c>
      <c r="F140">
        <v>3848.54</v>
      </c>
      <c r="G140" s="1">
        <v>45691</v>
      </c>
      <c r="H140" t="s">
        <v>56</v>
      </c>
      <c r="I140">
        <v>4.5999999999999996</v>
      </c>
    </row>
    <row r="141" spans="1:9" x14ac:dyDescent="0.3">
      <c r="A141" t="s">
        <v>184</v>
      </c>
      <c r="B141" t="s">
        <v>24</v>
      </c>
      <c r="C141" t="s">
        <v>25</v>
      </c>
      <c r="D141">
        <v>48175.48</v>
      </c>
      <c r="E141">
        <v>1</v>
      </c>
      <c r="F141">
        <v>48175.48</v>
      </c>
      <c r="G141" s="1">
        <v>45483</v>
      </c>
      <c r="H141" t="s">
        <v>42</v>
      </c>
      <c r="I141">
        <v>1.5</v>
      </c>
    </row>
    <row r="142" spans="1:9" x14ac:dyDescent="0.3">
      <c r="A142" t="s">
        <v>185</v>
      </c>
      <c r="B142" t="s">
        <v>36</v>
      </c>
      <c r="C142" t="s">
        <v>22</v>
      </c>
      <c r="D142">
        <v>2273.0100000000002</v>
      </c>
      <c r="E142">
        <v>2</v>
      </c>
      <c r="F142">
        <v>4546.0200000000004</v>
      </c>
      <c r="G142" s="1">
        <v>45658</v>
      </c>
      <c r="H142" t="s">
        <v>16</v>
      </c>
      <c r="I142">
        <v>4.3</v>
      </c>
    </row>
    <row r="143" spans="1:9" x14ac:dyDescent="0.3">
      <c r="A143" t="s">
        <v>186</v>
      </c>
      <c r="B143" t="s">
        <v>34</v>
      </c>
      <c r="C143" t="s">
        <v>15</v>
      </c>
      <c r="D143">
        <v>48346.41</v>
      </c>
      <c r="E143">
        <v>3</v>
      </c>
      <c r="F143">
        <v>145039.23000000001</v>
      </c>
      <c r="G143" s="1">
        <v>45684</v>
      </c>
      <c r="H143" t="s">
        <v>12</v>
      </c>
      <c r="I143">
        <v>1.4</v>
      </c>
    </row>
    <row r="144" spans="1:9" x14ac:dyDescent="0.3">
      <c r="A144" t="s">
        <v>187</v>
      </c>
      <c r="B144" t="s">
        <v>32</v>
      </c>
      <c r="C144" t="s">
        <v>25</v>
      </c>
      <c r="D144">
        <v>8383.86</v>
      </c>
      <c r="E144">
        <v>2</v>
      </c>
      <c r="F144">
        <v>16767.72</v>
      </c>
      <c r="G144" s="1">
        <v>45554</v>
      </c>
      <c r="H144" t="s">
        <v>28</v>
      </c>
      <c r="I144">
        <v>3.1</v>
      </c>
    </row>
    <row r="145" spans="1:9" x14ac:dyDescent="0.3">
      <c r="A145" t="s">
        <v>188</v>
      </c>
      <c r="B145" t="s">
        <v>75</v>
      </c>
      <c r="C145" t="s">
        <v>19</v>
      </c>
      <c r="D145">
        <v>15344.02</v>
      </c>
      <c r="E145">
        <v>1</v>
      </c>
      <c r="F145">
        <v>15344.02</v>
      </c>
      <c r="G145" s="1">
        <v>45428</v>
      </c>
      <c r="H145" t="s">
        <v>16</v>
      </c>
      <c r="I145">
        <v>4</v>
      </c>
    </row>
    <row r="146" spans="1:9" x14ac:dyDescent="0.3">
      <c r="A146" t="s">
        <v>189</v>
      </c>
      <c r="B146" t="s">
        <v>44</v>
      </c>
      <c r="C146" t="s">
        <v>22</v>
      </c>
      <c r="D146">
        <v>49142.57</v>
      </c>
      <c r="E146">
        <v>4</v>
      </c>
      <c r="F146">
        <v>196570.28</v>
      </c>
      <c r="G146" s="1">
        <v>45355</v>
      </c>
      <c r="H146" t="s">
        <v>16</v>
      </c>
      <c r="I146">
        <v>4.9000000000000004</v>
      </c>
    </row>
    <row r="147" spans="1:9" x14ac:dyDescent="0.3">
      <c r="A147" t="s">
        <v>190</v>
      </c>
      <c r="B147" t="s">
        <v>100</v>
      </c>
      <c r="C147" t="s">
        <v>11</v>
      </c>
      <c r="D147">
        <v>45182.27</v>
      </c>
      <c r="E147">
        <v>5</v>
      </c>
      <c r="F147">
        <v>225911.35</v>
      </c>
      <c r="G147" s="1">
        <v>45381</v>
      </c>
      <c r="H147" t="s">
        <v>12</v>
      </c>
      <c r="I147">
        <v>3.1</v>
      </c>
    </row>
    <row r="148" spans="1:9" x14ac:dyDescent="0.3">
      <c r="A148" t="s">
        <v>191</v>
      </c>
      <c r="B148" t="s">
        <v>34</v>
      </c>
      <c r="C148" t="s">
        <v>15</v>
      </c>
      <c r="D148">
        <v>18309.060000000001</v>
      </c>
      <c r="E148">
        <v>2</v>
      </c>
      <c r="F148">
        <v>36618.120000000003</v>
      </c>
      <c r="G148" s="1">
        <v>45423</v>
      </c>
      <c r="H148" t="s">
        <v>56</v>
      </c>
      <c r="I148">
        <v>1.9</v>
      </c>
    </row>
    <row r="149" spans="1:9" x14ac:dyDescent="0.3">
      <c r="A149" t="s">
        <v>192</v>
      </c>
      <c r="B149" t="s">
        <v>21</v>
      </c>
      <c r="C149" t="s">
        <v>22</v>
      </c>
      <c r="D149">
        <v>33021.1</v>
      </c>
      <c r="E149">
        <v>4</v>
      </c>
      <c r="F149">
        <v>132084.4</v>
      </c>
      <c r="G149" s="1">
        <v>45525</v>
      </c>
      <c r="H149" t="s">
        <v>12</v>
      </c>
      <c r="I149">
        <v>4.4000000000000004</v>
      </c>
    </row>
    <row r="150" spans="1:9" x14ac:dyDescent="0.3">
      <c r="A150" t="s">
        <v>193</v>
      </c>
      <c r="B150" t="s">
        <v>34</v>
      </c>
      <c r="C150" t="s">
        <v>15</v>
      </c>
      <c r="D150">
        <v>42814.17</v>
      </c>
      <c r="E150">
        <v>5</v>
      </c>
      <c r="F150">
        <v>214070.85</v>
      </c>
      <c r="G150" s="1">
        <v>45562</v>
      </c>
      <c r="H150" t="s">
        <v>12</v>
      </c>
      <c r="I150">
        <v>4.2</v>
      </c>
    </row>
    <row r="151" spans="1:9" x14ac:dyDescent="0.3">
      <c r="A151" t="s">
        <v>194</v>
      </c>
      <c r="B151" t="s">
        <v>38</v>
      </c>
      <c r="C151" t="s">
        <v>19</v>
      </c>
      <c r="D151">
        <v>5293.87</v>
      </c>
      <c r="E151">
        <v>2</v>
      </c>
      <c r="F151">
        <v>10587.74</v>
      </c>
      <c r="G151" s="1">
        <v>45657</v>
      </c>
      <c r="H151" t="s">
        <v>12</v>
      </c>
      <c r="I151">
        <v>2.7</v>
      </c>
    </row>
    <row r="152" spans="1:9" x14ac:dyDescent="0.3">
      <c r="A152" t="s">
        <v>195</v>
      </c>
      <c r="B152" t="s">
        <v>93</v>
      </c>
      <c r="C152" t="s">
        <v>11</v>
      </c>
      <c r="D152">
        <v>16596.580000000002</v>
      </c>
      <c r="E152">
        <v>5</v>
      </c>
      <c r="F152">
        <v>82982.899999999994</v>
      </c>
      <c r="G152" s="1">
        <v>45690</v>
      </c>
      <c r="H152" t="s">
        <v>16</v>
      </c>
      <c r="I152">
        <v>2.1</v>
      </c>
    </row>
    <row r="153" spans="1:9" x14ac:dyDescent="0.3">
      <c r="A153" t="s">
        <v>196</v>
      </c>
      <c r="B153" t="s">
        <v>30</v>
      </c>
      <c r="C153" t="s">
        <v>15</v>
      </c>
      <c r="D153">
        <v>48940.95</v>
      </c>
      <c r="E153">
        <v>1</v>
      </c>
      <c r="F153">
        <v>48940.95</v>
      </c>
      <c r="G153" s="1">
        <v>45342</v>
      </c>
      <c r="H153" t="s">
        <v>56</v>
      </c>
      <c r="I153">
        <v>1</v>
      </c>
    </row>
    <row r="154" spans="1:9" x14ac:dyDescent="0.3">
      <c r="A154" t="s">
        <v>197</v>
      </c>
      <c r="B154" t="s">
        <v>14</v>
      </c>
      <c r="C154" t="s">
        <v>15</v>
      </c>
      <c r="D154">
        <v>10059.450000000001</v>
      </c>
      <c r="E154">
        <v>5</v>
      </c>
      <c r="F154">
        <v>50297.25</v>
      </c>
      <c r="G154" s="1">
        <v>45374</v>
      </c>
      <c r="H154" t="s">
        <v>42</v>
      </c>
      <c r="I154">
        <v>4.3</v>
      </c>
    </row>
    <row r="155" spans="1:9" x14ac:dyDescent="0.3">
      <c r="A155" t="s">
        <v>198</v>
      </c>
      <c r="B155" t="s">
        <v>38</v>
      </c>
      <c r="C155" t="s">
        <v>19</v>
      </c>
      <c r="D155">
        <v>4820.8</v>
      </c>
      <c r="E155">
        <v>1</v>
      </c>
      <c r="F155">
        <v>4820.8</v>
      </c>
      <c r="G155" s="1">
        <v>45636</v>
      </c>
      <c r="H155" t="s">
        <v>28</v>
      </c>
      <c r="I155">
        <v>4.3</v>
      </c>
    </row>
    <row r="156" spans="1:9" x14ac:dyDescent="0.3">
      <c r="A156" t="s">
        <v>199</v>
      </c>
      <c r="B156" t="s">
        <v>50</v>
      </c>
      <c r="C156" t="s">
        <v>11</v>
      </c>
      <c r="D156">
        <v>12087.35</v>
      </c>
      <c r="E156">
        <v>4</v>
      </c>
      <c r="F156">
        <v>48349.4</v>
      </c>
      <c r="G156" s="1">
        <v>45617</v>
      </c>
      <c r="H156" t="s">
        <v>16</v>
      </c>
      <c r="I156">
        <v>2.6</v>
      </c>
    </row>
    <row r="157" spans="1:9" x14ac:dyDescent="0.3">
      <c r="A157" t="s">
        <v>200</v>
      </c>
      <c r="B157" t="s">
        <v>18</v>
      </c>
      <c r="C157" t="s">
        <v>19</v>
      </c>
      <c r="D157">
        <v>43522.080000000002</v>
      </c>
      <c r="E157">
        <v>5</v>
      </c>
      <c r="F157">
        <v>217610.4</v>
      </c>
      <c r="G157" s="1">
        <v>45546</v>
      </c>
      <c r="H157" t="s">
        <v>42</v>
      </c>
      <c r="I157">
        <v>4.8</v>
      </c>
    </row>
    <row r="158" spans="1:9" x14ac:dyDescent="0.3">
      <c r="A158" t="s">
        <v>201</v>
      </c>
      <c r="B158" t="s">
        <v>21</v>
      </c>
      <c r="C158" t="s">
        <v>22</v>
      </c>
      <c r="D158">
        <v>42409.26</v>
      </c>
      <c r="E158">
        <v>1</v>
      </c>
      <c r="F158">
        <v>42409.26</v>
      </c>
      <c r="G158" s="1">
        <v>45529</v>
      </c>
      <c r="H158" t="s">
        <v>12</v>
      </c>
      <c r="I158">
        <v>2</v>
      </c>
    </row>
    <row r="159" spans="1:9" x14ac:dyDescent="0.3">
      <c r="A159" t="s">
        <v>202</v>
      </c>
      <c r="B159" t="s">
        <v>93</v>
      </c>
      <c r="C159" t="s">
        <v>11</v>
      </c>
      <c r="D159">
        <v>29882.47</v>
      </c>
      <c r="E159">
        <v>5</v>
      </c>
      <c r="F159">
        <v>149412.35</v>
      </c>
      <c r="G159" s="1">
        <v>45465</v>
      </c>
      <c r="H159" t="s">
        <v>28</v>
      </c>
      <c r="I159">
        <v>4.7</v>
      </c>
    </row>
    <row r="160" spans="1:9" x14ac:dyDescent="0.3">
      <c r="A160" t="s">
        <v>203</v>
      </c>
      <c r="B160" t="s">
        <v>21</v>
      </c>
      <c r="C160" t="s">
        <v>22</v>
      </c>
      <c r="D160">
        <v>40233.279999999999</v>
      </c>
      <c r="E160">
        <v>5</v>
      </c>
      <c r="F160">
        <v>201166.4</v>
      </c>
      <c r="G160" s="1">
        <v>45662</v>
      </c>
      <c r="H160" t="s">
        <v>28</v>
      </c>
      <c r="I160">
        <v>1.9</v>
      </c>
    </row>
    <row r="161" spans="1:9" x14ac:dyDescent="0.3">
      <c r="A161" t="s">
        <v>204</v>
      </c>
      <c r="B161" t="s">
        <v>120</v>
      </c>
      <c r="C161" t="s">
        <v>25</v>
      </c>
      <c r="D161">
        <v>15357.36</v>
      </c>
      <c r="E161">
        <v>4</v>
      </c>
      <c r="F161">
        <v>61429.440000000002</v>
      </c>
      <c r="G161" s="1">
        <v>45510</v>
      </c>
      <c r="H161" t="s">
        <v>12</v>
      </c>
      <c r="I161">
        <v>1.6</v>
      </c>
    </row>
    <row r="162" spans="1:9" x14ac:dyDescent="0.3">
      <c r="A162" t="s">
        <v>205</v>
      </c>
      <c r="B162" t="s">
        <v>100</v>
      </c>
      <c r="C162" t="s">
        <v>11</v>
      </c>
      <c r="D162">
        <v>10565.57</v>
      </c>
      <c r="E162">
        <v>4</v>
      </c>
      <c r="F162">
        <v>42262.28</v>
      </c>
      <c r="G162" s="1">
        <v>45477</v>
      </c>
      <c r="H162" t="s">
        <v>56</v>
      </c>
      <c r="I162">
        <v>1.5</v>
      </c>
    </row>
    <row r="163" spans="1:9" x14ac:dyDescent="0.3">
      <c r="A163" t="s">
        <v>206</v>
      </c>
      <c r="B163" t="s">
        <v>93</v>
      </c>
      <c r="C163" t="s">
        <v>11</v>
      </c>
      <c r="D163">
        <v>42533.26</v>
      </c>
      <c r="E163">
        <v>4</v>
      </c>
      <c r="F163">
        <v>170133.04</v>
      </c>
      <c r="G163" s="1">
        <v>45624</v>
      </c>
      <c r="H163" t="s">
        <v>12</v>
      </c>
      <c r="I163">
        <v>4.5999999999999996</v>
      </c>
    </row>
    <row r="164" spans="1:9" x14ac:dyDescent="0.3">
      <c r="A164" t="s">
        <v>207</v>
      </c>
      <c r="B164" t="s">
        <v>27</v>
      </c>
      <c r="C164" t="s">
        <v>25</v>
      </c>
      <c r="D164">
        <v>18426.900000000001</v>
      </c>
      <c r="E164">
        <v>4</v>
      </c>
      <c r="F164">
        <v>73707.600000000006</v>
      </c>
      <c r="G164" s="1">
        <v>45583</v>
      </c>
      <c r="H164" t="s">
        <v>12</v>
      </c>
      <c r="I164">
        <v>4.7</v>
      </c>
    </row>
    <row r="165" spans="1:9" x14ac:dyDescent="0.3">
      <c r="A165" t="s">
        <v>208</v>
      </c>
      <c r="B165" t="s">
        <v>38</v>
      </c>
      <c r="C165" t="s">
        <v>19</v>
      </c>
      <c r="D165">
        <v>23369.23</v>
      </c>
      <c r="E165">
        <v>1</v>
      </c>
      <c r="F165">
        <v>23369.23</v>
      </c>
      <c r="G165" s="1">
        <v>45619</v>
      </c>
      <c r="H165" t="s">
        <v>47</v>
      </c>
      <c r="I165">
        <v>1.5</v>
      </c>
    </row>
    <row r="166" spans="1:9" x14ac:dyDescent="0.3">
      <c r="A166" t="s">
        <v>209</v>
      </c>
      <c r="B166" t="s">
        <v>38</v>
      </c>
      <c r="C166" t="s">
        <v>19</v>
      </c>
      <c r="D166">
        <v>2735.32</v>
      </c>
      <c r="E166">
        <v>5</v>
      </c>
      <c r="F166">
        <v>13676.6</v>
      </c>
      <c r="G166" s="1">
        <v>45646</v>
      </c>
      <c r="H166" t="s">
        <v>28</v>
      </c>
      <c r="I166">
        <v>2.6</v>
      </c>
    </row>
    <row r="167" spans="1:9" x14ac:dyDescent="0.3">
      <c r="A167" t="s">
        <v>210</v>
      </c>
      <c r="B167" t="s">
        <v>71</v>
      </c>
      <c r="C167" t="s">
        <v>22</v>
      </c>
      <c r="D167">
        <v>48944.01</v>
      </c>
      <c r="E167">
        <v>3</v>
      </c>
      <c r="F167">
        <v>146832.03</v>
      </c>
      <c r="G167" s="1">
        <v>45477</v>
      </c>
      <c r="H167" t="s">
        <v>42</v>
      </c>
      <c r="I167">
        <v>4.2</v>
      </c>
    </row>
    <row r="168" spans="1:9" x14ac:dyDescent="0.3">
      <c r="A168" t="s">
        <v>211</v>
      </c>
      <c r="B168" t="s">
        <v>69</v>
      </c>
      <c r="C168" t="s">
        <v>19</v>
      </c>
      <c r="D168">
        <v>32590.46</v>
      </c>
      <c r="E168">
        <v>2</v>
      </c>
      <c r="F168">
        <v>65180.92</v>
      </c>
      <c r="G168" s="1">
        <v>45393</v>
      </c>
      <c r="H168" t="s">
        <v>56</v>
      </c>
      <c r="I168">
        <v>2.4</v>
      </c>
    </row>
    <row r="169" spans="1:9" x14ac:dyDescent="0.3">
      <c r="A169" t="s">
        <v>212</v>
      </c>
      <c r="B169" t="s">
        <v>69</v>
      </c>
      <c r="C169" t="s">
        <v>19</v>
      </c>
      <c r="D169">
        <v>35286.97</v>
      </c>
      <c r="E169">
        <v>2</v>
      </c>
      <c r="F169">
        <v>70573.94</v>
      </c>
      <c r="G169" s="1">
        <v>45574</v>
      </c>
      <c r="H169" t="s">
        <v>56</v>
      </c>
      <c r="I169">
        <v>3.3</v>
      </c>
    </row>
    <row r="170" spans="1:9" x14ac:dyDescent="0.3">
      <c r="A170" t="s">
        <v>213</v>
      </c>
      <c r="B170" t="s">
        <v>93</v>
      </c>
      <c r="C170" t="s">
        <v>11</v>
      </c>
      <c r="D170">
        <v>42881.03</v>
      </c>
      <c r="E170">
        <v>3</v>
      </c>
      <c r="F170">
        <v>128643.09</v>
      </c>
      <c r="G170" s="1">
        <v>45625</v>
      </c>
      <c r="H170" t="s">
        <v>56</v>
      </c>
      <c r="I170">
        <v>4.4000000000000004</v>
      </c>
    </row>
    <row r="171" spans="1:9" x14ac:dyDescent="0.3">
      <c r="A171" t="s">
        <v>214</v>
      </c>
      <c r="B171" t="s">
        <v>75</v>
      </c>
      <c r="C171" t="s">
        <v>19</v>
      </c>
      <c r="D171">
        <v>28246.25</v>
      </c>
      <c r="E171">
        <v>2</v>
      </c>
      <c r="F171">
        <v>56492.5</v>
      </c>
      <c r="G171" s="1">
        <v>45446</v>
      </c>
      <c r="H171" t="s">
        <v>56</v>
      </c>
      <c r="I171">
        <v>2.2999999999999998</v>
      </c>
    </row>
    <row r="172" spans="1:9" x14ac:dyDescent="0.3">
      <c r="A172" t="s">
        <v>215</v>
      </c>
      <c r="B172" t="s">
        <v>75</v>
      </c>
      <c r="C172" t="s">
        <v>19</v>
      </c>
      <c r="D172">
        <v>24619.84</v>
      </c>
      <c r="E172">
        <v>2</v>
      </c>
      <c r="F172">
        <v>49239.68</v>
      </c>
      <c r="G172" s="1">
        <v>45632</v>
      </c>
      <c r="H172" t="s">
        <v>12</v>
      </c>
      <c r="I172">
        <v>4.0999999999999996</v>
      </c>
    </row>
    <row r="173" spans="1:9" x14ac:dyDescent="0.3">
      <c r="A173" t="s">
        <v>216</v>
      </c>
      <c r="B173" t="s">
        <v>151</v>
      </c>
      <c r="C173" t="s">
        <v>15</v>
      </c>
      <c r="D173">
        <v>12083.96</v>
      </c>
      <c r="E173">
        <v>3</v>
      </c>
      <c r="F173">
        <v>36251.879999999997</v>
      </c>
      <c r="G173" s="1">
        <v>45619</v>
      </c>
      <c r="H173" t="s">
        <v>28</v>
      </c>
      <c r="I173">
        <v>3</v>
      </c>
    </row>
    <row r="174" spans="1:9" x14ac:dyDescent="0.3">
      <c r="A174" t="s">
        <v>217</v>
      </c>
      <c r="B174" t="s">
        <v>100</v>
      </c>
      <c r="C174" t="s">
        <v>11</v>
      </c>
      <c r="D174">
        <v>12214.72</v>
      </c>
      <c r="E174">
        <v>5</v>
      </c>
      <c r="F174">
        <v>61073.599999999999</v>
      </c>
      <c r="G174" s="1">
        <v>45671</v>
      </c>
      <c r="H174" t="s">
        <v>16</v>
      </c>
      <c r="I174">
        <v>2.1</v>
      </c>
    </row>
    <row r="175" spans="1:9" x14ac:dyDescent="0.3">
      <c r="A175" t="s">
        <v>218</v>
      </c>
      <c r="B175" t="s">
        <v>93</v>
      </c>
      <c r="C175" t="s">
        <v>11</v>
      </c>
      <c r="D175">
        <v>19386.27</v>
      </c>
      <c r="E175">
        <v>1</v>
      </c>
      <c r="F175">
        <v>19386.27</v>
      </c>
      <c r="G175" s="1">
        <v>45489</v>
      </c>
      <c r="H175" t="s">
        <v>42</v>
      </c>
      <c r="I175">
        <v>4.0999999999999996</v>
      </c>
    </row>
    <row r="176" spans="1:9" x14ac:dyDescent="0.3">
      <c r="A176" t="s">
        <v>219</v>
      </c>
      <c r="B176" t="s">
        <v>10</v>
      </c>
      <c r="C176" t="s">
        <v>11</v>
      </c>
      <c r="D176">
        <v>34879.4</v>
      </c>
      <c r="E176">
        <v>3</v>
      </c>
      <c r="F176">
        <v>104638.2</v>
      </c>
      <c r="G176" s="1">
        <v>45394</v>
      </c>
      <c r="H176" t="s">
        <v>16</v>
      </c>
      <c r="I176">
        <v>2.5</v>
      </c>
    </row>
    <row r="177" spans="1:9" x14ac:dyDescent="0.3">
      <c r="A177" t="s">
        <v>220</v>
      </c>
      <c r="B177" t="s">
        <v>71</v>
      </c>
      <c r="C177" t="s">
        <v>22</v>
      </c>
      <c r="D177">
        <v>32016.11</v>
      </c>
      <c r="E177">
        <v>5</v>
      </c>
      <c r="F177">
        <v>160080.54999999999</v>
      </c>
      <c r="G177" s="1">
        <v>45562</v>
      </c>
      <c r="H177" t="s">
        <v>12</v>
      </c>
      <c r="I177">
        <v>4.3</v>
      </c>
    </row>
    <row r="178" spans="1:9" x14ac:dyDescent="0.3">
      <c r="A178" t="s">
        <v>221</v>
      </c>
      <c r="B178" t="s">
        <v>54</v>
      </c>
      <c r="C178" t="s">
        <v>15</v>
      </c>
      <c r="D178">
        <v>32264.17</v>
      </c>
      <c r="E178">
        <v>1</v>
      </c>
      <c r="F178">
        <v>32264.17</v>
      </c>
      <c r="G178" s="1">
        <v>45495</v>
      </c>
      <c r="H178" t="s">
        <v>56</v>
      </c>
      <c r="I178">
        <v>4.0999999999999996</v>
      </c>
    </row>
    <row r="179" spans="1:9" x14ac:dyDescent="0.3">
      <c r="A179" t="s">
        <v>222</v>
      </c>
      <c r="B179" t="s">
        <v>75</v>
      </c>
      <c r="C179" t="s">
        <v>19</v>
      </c>
      <c r="D179">
        <v>30171.74</v>
      </c>
      <c r="E179">
        <v>4</v>
      </c>
      <c r="F179">
        <v>120686.96</v>
      </c>
      <c r="G179" s="1">
        <v>45502</v>
      </c>
      <c r="H179" t="s">
        <v>56</v>
      </c>
      <c r="I179">
        <v>3.8</v>
      </c>
    </row>
    <row r="180" spans="1:9" x14ac:dyDescent="0.3">
      <c r="A180" t="s">
        <v>223</v>
      </c>
      <c r="B180" t="s">
        <v>151</v>
      </c>
      <c r="C180" t="s">
        <v>15</v>
      </c>
      <c r="D180">
        <v>22712.18</v>
      </c>
      <c r="E180">
        <v>5</v>
      </c>
      <c r="F180">
        <v>113560.9</v>
      </c>
      <c r="G180" s="1">
        <v>45681</v>
      </c>
      <c r="H180" t="s">
        <v>42</v>
      </c>
      <c r="I180">
        <v>3.9</v>
      </c>
    </row>
    <row r="181" spans="1:9" x14ac:dyDescent="0.3">
      <c r="A181" t="s">
        <v>224</v>
      </c>
      <c r="B181" t="s">
        <v>46</v>
      </c>
      <c r="C181" t="s">
        <v>11</v>
      </c>
      <c r="D181">
        <v>27204.69</v>
      </c>
      <c r="E181">
        <v>1</v>
      </c>
      <c r="F181">
        <v>27204.69</v>
      </c>
      <c r="G181" s="1">
        <v>45697</v>
      </c>
      <c r="H181" t="s">
        <v>12</v>
      </c>
      <c r="I181">
        <v>2.8</v>
      </c>
    </row>
    <row r="182" spans="1:9" x14ac:dyDescent="0.3">
      <c r="A182" t="s">
        <v>225</v>
      </c>
      <c r="B182" t="s">
        <v>10</v>
      </c>
      <c r="C182" t="s">
        <v>11</v>
      </c>
      <c r="D182">
        <v>17353.47</v>
      </c>
      <c r="E182">
        <v>1</v>
      </c>
      <c r="F182">
        <v>17353.47</v>
      </c>
      <c r="G182" s="1">
        <v>45630</v>
      </c>
      <c r="H182" t="s">
        <v>47</v>
      </c>
      <c r="I182">
        <v>2.6</v>
      </c>
    </row>
    <row r="183" spans="1:9" x14ac:dyDescent="0.3">
      <c r="A183" t="s">
        <v>226</v>
      </c>
      <c r="B183" t="s">
        <v>120</v>
      </c>
      <c r="C183" t="s">
        <v>25</v>
      </c>
      <c r="D183">
        <v>44882.2</v>
      </c>
      <c r="E183">
        <v>1</v>
      </c>
      <c r="F183">
        <v>44882.2</v>
      </c>
      <c r="G183" s="1">
        <v>45423</v>
      </c>
      <c r="H183" t="s">
        <v>42</v>
      </c>
      <c r="I183">
        <v>1.3</v>
      </c>
    </row>
    <row r="184" spans="1:9" x14ac:dyDescent="0.3">
      <c r="A184" t="s">
        <v>227</v>
      </c>
      <c r="B184" t="s">
        <v>120</v>
      </c>
      <c r="C184" t="s">
        <v>25</v>
      </c>
      <c r="D184">
        <v>47002.720000000001</v>
      </c>
      <c r="E184">
        <v>3</v>
      </c>
      <c r="F184">
        <v>141008.16</v>
      </c>
      <c r="G184" s="1">
        <v>45356</v>
      </c>
      <c r="H184" t="s">
        <v>12</v>
      </c>
      <c r="I184">
        <v>4.0999999999999996</v>
      </c>
    </row>
    <row r="185" spans="1:9" x14ac:dyDescent="0.3">
      <c r="A185" t="s">
        <v>228</v>
      </c>
      <c r="B185" t="s">
        <v>40</v>
      </c>
      <c r="C185" t="s">
        <v>19</v>
      </c>
      <c r="D185">
        <v>33659.67</v>
      </c>
      <c r="E185">
        <v>4</v>
      </c>
      <c r="F185">
        <v>134638.68</v>
      </c>
      <c r="G185" s="1">
        <v>45478</v>
      </c>
      <c r="H185" t="s">
        <v>28</v>
      </c>
      <c r="I185">
        <v>3.3</v>
      </c>
    </row>
    <row r="186" spans="1:9" x14ac:dyDescent="0.3">
      <c r="A186" t="s">
        <v>229</v>
      </c>
      <c r="B186" t="s">
        <v>120</v>
      </c>
      <c r="C186" t="s">
        <v>25</v>
      </c>
      <c r="D186">
        <v>13011.44</v>
      </c>
      <c r="E186">
        <v>2</v>
      </c>
      <c r="F186">
        <v>26022.880000000001</v>
      </c>
      <c r="G186" s="1">
        <v>45468</v>
      </c>
      <c r="H186" t="s">
        <v>28</v>
      </c>
      <c r="I186">
        <v>4.9000000000000004</v>
      </c>
    </row>
    <row r="187" spans="1:9" x14ac:dyDescent="0.3">
      <c r="A187" t="s">
        <v>230</v>
      </c>
      <c r="B187" t="s">
        <v>44</v>
      </c>
      <c r="C187" t="s">
        <v>22</v>
      </c>
      <c r="D187">
        <v>21990.25</v>
      </c>
      <c r="E187">
        <v>3</v>
      </c>
      <c r="F187">
        <v>65970.75</v>
      </c>
      <c r="G187" s="1">
        <v>45669</v>
      </c>
      <c r="H187" t="s">
        <v>28</v>
      </c>
      <c r="I187">
        <v>4.2</v>
      </c>
    </row>
    <row r="188" spans="1:9" x14ac:dyDescent="0.3">
      <c r="A188" t="s">
        <v>231</v>
      </c>
      <c r="B188" t="s">
        <v>38</v>
      </c>
      <c r="C188" t="s">
        <v>19</v>
      </c>
      <c r="D188">
        <v>1927.38</v>
      </c>
      <c r="E188">
        <v>3</v>
      </c>
      <c r="F188">
        <v>5782.14</v>
      </c>
      <c r="G188" s="1">
        <v>45535</v>
      </c>
      <c r="H188" t="s">
        <v>12</v>
      </c>
      <c r="I188">
        <v>2.9</v>
      </c>
    </row>
    <row r="189" spans="1:9" x14ac:dyDescent="0.3">
      <c r="A189" t="s">
        <v>232</v>
      </c>
      <c r="B189" t="s">
        <v>71</v>
      </c>
      <c r="C189" t="s">
        <v>22</v>
      </c>
      <c r="D189">
        <v>21741.53</v>
      </c>
      <c r="E189">
        <v>3</v>
      </c>
      <c r="F189">
        <v>65224.59</v>
      </c>
      <c r="G189" s="1">
        <v>45628</v>
      </c>
      <c r="H189" t="s">
        <v>42</v>
      </c>
      <c r="I189">
        <v>3.5</v>
      </c>
    </row>
    <row r="190" spans="1:9" x14ac:dyDescent="0.3">
      <c r="A190" t="s">
        <v>233</v>
      </c>
      <c r="B190" t="s">
        <v>30</v>
      </c>
      <c r="C190" t="s">
        <v>15</v>
      </c>
      <c r="D190">
        <v>23638.720000000001</v>
      </c>
      <c r="E190">
        <v>1</v>
      </c>
      <c r="F190">
        <v>23638.720000000001</v>
      </c>
      <c r="G190" s="1">
        <v>45559</v>
      </c>
      <c r="H190" t="s">
        <v>47</v>
      </c>
      <c r="I190">
        <v>1.5</v>
      </c>
    </row>
    <row r="191" spans="1:9" x14ac:dyDescent="0.3">
      <c r="A191" t="s">
        <v>234</v>
      </c>
      <c r="B191" t="s">
        <v>69</v>
      </c>
      <c r="C191" t="s">
        <v>19</v>
      </c>
      <c r="D191">
        <v>39372.11</v>
      </c>
      <c r="E191">
        <v>1</v>
      </c>
      <c r="F191">
        <v>39372.11</v>
      </c>
      <c r="G191" s="1">
        <v>45395</v>
      </c>
      <c r="H191" t="s">
        <v>28</v>
      </c>
      <c r="I191">
        <v>4.0999999999999996</v>
      </c>
    </row>
    <row r="192" spans="1:9" x14ac:dyDescent="0.3">
      <c r="A192" t="s">
        <v>235</v>
      </c>
      <c r="B192" t="s">
        <v>93</v>
      </c>
      <c r="C192" t="s">
        <v>11</v>
      </c>
      <c r="D192">
        <v>49088.13</v>
      </c>
      <c r="E192">
        <v>4</v>
      </c>
      <c r="F192">
        <v>196352.52</v>
      </c>
      <c r="G192" s="1">
        <v>45357</v>
      </c>
      <c r="H192" t="s">
        <v>28</v>
      </c>
      <c r="I192">
        <v>2.2999999999999998</v>
      </c>
    </row>
    <row r="193" spans="1:9" x14ac:dyDescent="0.3">
      <c r="A193" t="s">
        <v>236</v>
      </c>
      <c r="B193" t="s">
        <v>24</v>
      </c>
      <c r="C193" t="s">
        <v>25</v>
      </c>
      <c r="D193">
        <v>4524.63</v>
      </c>
      <c r="E193">
        <v>3</v>
      </c>
      <c r="F193">
        <v>13573.89</v>
      </c>
      <c r="G193" s="1">
        <v>45645</v>
      </c>
      <c r="H193" t="s">
        <v>16</v>
      </c>
      <c r="I193">
        <v>2.4</v>
      </c>
    </row>
    <row r="194" spans="1:9" x14ac:dyDescent="0.3">
      <c r="A194" t="s">
        <v>237</v>
      </c>
      <c r="B194" t="s">
        <v>30</v>
      </c>
      <c r="C194" t="s">
        <v>15</v>
      </c>
      <c r="D194">
        <v>1507.01</v>
      </c>
      <c r="E194">
        <v>3</v>
      </c>
      <c r="F194">
        <v>4521.03</v>
      </c>
      <c r="G194" s="1">
        <v>45506</v>
      </c>
      <c r="H194" t="s">
        <v>56</v>
      </c>
      <c r="I194">
        <v>2.5</v>
      </c>
    </row>
    <row r="195" spans="1:9" x14ac:dyDescent="0.3">
      <c r="A195" t="s">
        <v>238</v>
      </c>
      <c r="B195" t="s">
        <v>36</v>
      </c>
      <c r="C195" t="s">
        <v>22</v>
      </c>
      <c r="D195">
        <v>39699.85</v>
      </c>
      <c r="E195">
        <v>3</v>
      </c>
      <c r="F195">
        <v>119099.55</v>
      </c>
      <c r="G195" s="1">
        <v>45426</v>
      </c>
      <c r="H195" t="s">
        <v>28</v>
      </c>
      <c r="I195">
        <v>3.9</v>
      </c>
    </row>
    <row r="196" spans="1:9" x14ac:dyDescent="0.3">
      <c r="A196" t="s">
        <v>239</v>
      </c>
      <c r="B196" t="s">
        <v>18</v>
      </c>
      <c r="C196" t="s">
        <v>19</v>
      </c>
      <c r="D196">
        <v>37494.129999999997</v>
      </c>
      <c r="E196">
        <v>5</v>
      </c>
      <c r="F196">
        <v>187470.65</v>
      </c>
      <c r="G196" s="1">
        <v>45566</v>
      </c>
      <c r="H196" t="s">
        <v>42</v>
      </c>
      <c r="I196">
        <v>1.8</v>
      </c>
    </row>
    <row r="197" spans="1:9" x14ac:dyDescent="0.3">
      <c r="A197" t="s">
        <v>240</v>
      </c>
      <c r="B197" t="s">
        <v>44</v>
      </c>
      <c r="C197" t="s">
        <v>22</v>
      </c>
      <c r="D197">
        <v>5850.81</v>
      </c>
      <c r="E197">
        <v>5</v>
      </c>
      <c r="F197">
        <v>29254.05</v>
      </c>
      <c r="G197" s="1">
        <v>45624</v>
      </c>
      <c r="H197" t="s">
        <v>42</v>
      </c>
      <c r="I197">
        <v>1.3</v>
      </c>
    </row>
    <row r="198" spans="1:9" x14ac:dyDescent="0.3">
      <c r="A198" t="s">
        <v>241</v>
      </c>
      <c r="B198" t="s">
        <v>100</v>
      </c>
      <c r="C198" t="s">
        <v>11</v>
      </c>
      <c r="D198">
        <v>16448.740000000002</v>
      </c>
      <c r="E198">
        <v>4</v>
      </c>
      <c r="F198">
        <v>65794.960000000006</v>
      </c>
      <c r="G198" s="1">
        <v>45539</v>
      </c>
      <c r="H198" t="s">
        <v>56</v>
      </c>
      <c r="I198">
        <v>4.5999999999999996</v>
      </c>
    </row>
    <row r="199" spans="1:9" x14ac:dyDescent="0.3">
      <c r="A199" t="s">
        <v>242</v>
      </c>
      <c r="B199" t="s">
        <v>21</v>
      </c>
      <c r="C199" t="s">
        <v>22</v>
      </c>
      <c r="D199">
        <v>11103.44</v>
      </c>
      <c r="E199">
        <v>1</v>
      </c>
      <c r="F199">
        <v>11103.44</v>
      </c>
      <c r="G199" s="1">
        <v>45421</v>
      </c>
      <c r="H199" t="s">
        <v>28</v>
      </c>
      <c r="I199">
        <v>1.1000000000000001</v>
      </c>
    </row>
    <row r="200" spans="1:9" x14ac:dyDescent="0.3">
      <c r="A200" t="s">
        <v>243</v>
      </c>
      <c r="B200" t="s">
        <v>100</v>
      </c>
      <c r="C200" t="s">
        <v>11</v>
      </c>
      <c r="D200">
        <v>34255.39</v>
      </c>
      <c r="E200">
        <v>2</v>
      </c>
      <c r="F200">
        <v>68510.78</v>
      </c>
      <c r="G200" s="1">
        <v>45340</v>
      </c>
      <c r="H200" t="s">
        <v>16</v>
      </c>
      <c r="I200">
        <v>2.9</v>
      </c>
    </row>
    <row r="201" spans="1:9" x14ac:dyDescent="0.3">
      <c r="A201" t="s">
        <v>244</v>
      </c>
      <c r="B201" t="s">
        <v>21</v>
      </c>
      <c r="C201" t="s">
        <v>22</v>
      </c>
      <c r="D201">
        <v>18304.18</v>
      </c>
      <c r="E201">
        <v>2</v>
      </c>
      <c r="F201">
        <v>36608.36</v>
      </c>
      <c r="G201" s="1">
        <v>45565</v>
      </c>
      <c r="H201" t="s">
        <v>12</v>
      </c>
      <c r="I201">
        <v>1.6</v>
      </c>
    </row>
    <row r="202" spans="1:9" x14ac:dyDescent="0.3">
      <c r="A202" t="s">
        <v>245</v>
      </c>
      <c r="B202" t="s">
        <v>32</v>
      </c>
      <c r="C202" t="s">
        <v>25</v>
      </c>
      <c r="D202">
        <v>12771.91</v>
      </c>
      <c r="E202">
        <v>2</v>
      </c>
      <c r="F202">
        <v>25543.82</v>
      </c>
      <c r="G202" s="1">
        <v>45484</v>
      </c>
      <c r="H202" t="s">
        <v>28</v>
      </c>
      <c r="I202">
        <v>3.2</v>
      </c>
    </row>
    <row r="203" spans="1:9" x14ac:dyDescent="0.3">
      <c r="A203" t="s">
        <v>246</v>
      </c>
      <c r="B203" t="s">
        <v>46</v>
      </c>
      <c r="C203" t="s">
        <v>11</v>
      </c>
      <c r="D203">
        <v>2275.09</v>
      </c>
      <c r="E203">
        <v>2</v>
      </c>
      <c r="F203">
        <v>4550.18</v>
      </c>
      <c r="G203" s="1">
        <v>45470</v>
      </c>
      <c r="H203" t="s">
        <v>12</v>
      </c>
      <c r="I203">
        <v>1.5</v>
      </c>
    </row>
    <row r="204" spans="1:9" x14ac:dyDescent="0.3">
      <c r="A204" t="s">
        <v>247</v>
      </c>
      <c r="B204" t="s">
        <v>30</v>
      </c>
      <c r="C204" t="s">
        <v>15</v>
      </c>
      <c r="D204">
        <v>16468.59</v>
      </c>
      <c r="E204">
        <v>4</v>
      </c>
      <c r="F204">
        <v>65874.36</v>
      </c>
      <c r="G204" s="1">
        <v>45589</v>
      </c>
      <c r="H204" t="s">
        <v>56</v>
      </c>
      <c r="I204">
        <v>4.5</v>
      </c>
    </row>
    <row r="205" spans="1:9" x14ac:dyDescent="0.3">
      <c r="A205" t="s">
        <v>248</v>
      </c>
      <c r="B205" t="s">
        <v>24</v>
      </c>
      <c r="C205" t="s">
        <v>25</v>
      </c>
      <c r="D205">
        <v>4934.99</v>
      </c>
      <c r="E205">
        <v>3</v>
      </c>
      <c r="F205">
        <v>14804.97</v>
      </c>
      <c r="G205" s="1">
        <v>45581</v>
      </c>
      <c r="H205" t="s">
        <v>47</v>
      </c>
      <c r="I205">
        <v>4.5999999999999996</v>
      </c>
    </row>
    <row r="206" spans="1:9" x14ac:dyDescent="0.3">
      <c r="A206" t="s">
        <v>249</v>
      </c>
      <c r="B206" t="s">
        <v>32</v>
      </c>
      <c r="C206" t="s">
        <v>25</v>
      </c>
      <c r="D206">
        <v>5258.29</v>
      </c>
      <c r="E206">
        <v>5</v>
      </c>
      <c r="F206">
        <v>26291.45</v>
      </c>
      <c r="G206" s="1">
        <v>45527</v>
      </c>
      <c r="H206" t="s">
        <v>28</v>
      </c>
      <c r="I206">
        <v>2.5</v>
      </c>
    </row>
    <row r="207" spans="1:9" x14ac:dyDescent="0.3">
      <c r="A207" t="s">
        <v>250</v>
      </c>
      <c r="B207" t="s">
        <v>69</v>
      </c>
      <c r="C207" t="s">
        <v>19</v>
      </c>
      <c r="D207">
        <v>32580</v>
      </c>
      <c r="E207">
        <v>5</v>
      </c>
      <c r="F207">
        <v>162900</v>
      </c>
      <c r="G207" s="1">
        <v>45378</v>
      </c>
      <c r="H207" t="s">
        <v>42</v>
      </c>
      <c r="I207">
        <v>2.7</v>
      </c>
    </row>
    <row r="208" spans="1:9" x14ac:dyDescent="0.3">
      <c r="A208" t="s">
        <v>251</v>
      </c>
      <c r="B208" t="s">
        <v>120</v>
      </c>
      <c r="C208" t="s">
        <v>25</v>
      </c>
      <c r="D208">
        <v>40298.9</v>
      </c>
      <c r="E208">
        <v>1</v>
      </c>
      <c r="F208">
        <v>40298.9</v>
      </c>
      <c r="G208" s="1">
        <v>45460</v>
      </c>
      <c r="H208" t="s">
        <v>12</v>
      </c>
      <c r="I208">
        <v>1.2</v>
      </c>
    </row>
    <row r="209" spans="1:9" x14ac:dyDescent="0.3">
      <c r="A209" t="s">
        <v>252</v>
      </c>
      <c r="B209" t="s">
        <v>36</v>
      </c>
      <c r="C209" t="s">
        <v>22</v>
      </c>
      <c r="D209">
        <v>11236.19</v>
      </c>
      <c r="E209">
        <v>3</v>
      </c>
      <c r="F209">
        <v>33708.57</v>
      </c>
      <c r="G209" s="1">
        <v>45598</v>
      </c>
      <c r="H209" t="s">
        <v>42</v>
      </c>
      <c r="I209">
        <v>2.6</v>
      </c>
    </row>
    <row r="210" spans="1:9" x14ac:dyDescent="0.3">
      <c r="A210" t="s">
        <v>253</v>
      </c>
      <c r="B210" t="s">
        <v>100</v>
      </c>
      <c r="C210" t="s">
        <v>11</v>
      </c>
      <c r="D210">
        <v>32537.46</v>
      </c>
      <c r="E210">
        <v>5</v>
      </c>
      <c r="F210">
        <v>162687.29999999999</v>
      </c>
      <c r="G210" s="1">
        <v>45593</v>
      </c>
      <c r="H210" t="s">
        <v>16</v>
      </c>
      <c r="I210">
        <v>3.4</v>
      </c>
    </row>
    <row r="211" spans="1:9" x14ac:dyDescent="0.3">
      <c r="A211" t="s">
        <v>254</v>
      </c>
      <c r="B211" t="s">
        <v>14</v>
      </c>
      <c r="C211" t="s">
        <v>15</v>
      </c>
      <c r="D211">
        <v>6953.88</v>
      </c>
      <c r="E211">
        <v>1</v>
      </c>
      <c r="F211">
        <v>6953.88</v>
      </c>
      <c r="G211" s="1">
        <v>45426</v>
      </c>
      <c r="H211" t="s">
        <v>16</v>
      </c>
      <c r="I211">
        <v>2.9</v>
      </c>
    </row>
    <row r="212" spans="1:9" x14ac:dyDescent="0.3">
      <c r="A212" t="s">
        <v>255</v>
      </c>
      <c r="B212" t="s">
        <v>60</v>
      </c>
      <c r="C212" t="s">
        <v>25</v>
      </c>
      <c r="D212">
        <v>32824.050000000003</v>
      </c>
      <c r="E212">
        <v>3</v>
      </c>
      <c r="F212">
        <v>98472.15</v>
      </c>
      <c r="G212" s="1">
        <v>45537</v>
      </c>
      <c r="H212" t="s">
        <v>47</v>
      </c>
      <c r="I212">
        <v>3.6</v>
      </c>
    </row>
    <row r="213" spans="1:9" x14ac:dyDescent="0.3">
      <c r="A213" t="s">
        <v>256</v>
      </c>
      <c r="B213" t="s">
        <v>30</v>
      </c>
      <c r="C213" t="s">
        <v>15</v>
      </c>
      <c r="D213">
        <v>34459.99</v>
      </c>
      <c r="E213">
        <v>3</v>
      </c>
      <c r="F213">
        <v>103379.97</v>
      </c>
      <c r="G213" s="1">
        <v>45570</v>
      </c>
      <c r="H213" t="s">
        <v>12</v>
      </c>
      <c r="I213">
        <v>1.4</v>
      </c>
    </row>
    <row r="214" spans="1:9" x14ac:dyDescent="0.3">
      <c r="A214" t="s">
        <v>257</v>
      </c>
      <c r="B214" t="s">
        <v>10</v>
      </c>
      <c r="C214" t="s">
        <v>11</v>
      </c>
      <c r="D214">
        <v>13608.58</v>
      </c>
      <c r="E214">
        <v>3</v>
      </c>
      <c r="F214">
        <v>40825.74</v>
      </c>
      <c r="G214" s="1">
        <v>45387</v>
      </c>
      <c r="H214" t="s">
        <v>16</v>
      </c>
      <c r="I214">
        <v>4.5999999999999996</v>
      </c>
    </row>
    <row r="215" spans="1:9" x14ac:dyDescent="0.3">
      <c r="A215" t="s">
        <v>258</v>
      </c>
      <c r="B215" t="s">
        <v>27</v>
      </c>
      <c r="C215" t="s">
        <v>25</v>
      </c>
      <c r="D215">
        <v>32630.83</v>
      </c>
      <c r="E215">
        <v>2</v>
      </c>
      <c r="F215">
        <v>65261.66</v>
      </c>
      <c r="G215" s="1">
        <v>45648</v>
      </c>
      <c r="H215" t="s">
        <v>16</v>
      </c>
      <c r="I215">
        <v>4.7</v>
      </c>
    </row>
    <row r="216" spans="1:9" x14ac:dyDescent="0.3">
      <c r="A216" t="s">
        <v>259</v>
      </c>
      <c r="B216" t="s">
        <v>71</v>
      </c>
      <c r="C216" t="s">
        <v>22</v>
      </c>
      <c r="D216">
        <v>24818.77</v>
      </c>
      <c r="E216">
        <v>4</v>
      </c>
      <c r="F216">
        <v>99275.08</v>
      </c>
      <c r="G216" s="1">
        <v>45610</v>
      </c>
      <c r="H216" t="s">
        <v>12</v>
      </c>
      <c r="I216">
        <v>2.2999999999999998</v>
      </c>
    </row>
    <row r="217" spans="1:9" x14ac:dyDescent="0.3">
      <c r="A217" t="s">
        <v>260</v>
      </c>
      <c r="B217" t="s">
        <v>50</v>
      </c>
      <c r="C217" t="s">
        <v>11</v>
      </c>
      <c r="D217">
        <v>36645.35</v>
      </c>
      <c r="E217">
        <v>3</v>
      </c>
      <c r="F217">
        <v>109936.05</v>
      </c>
      <c r="G217" s="1">
        <v>45652</v>
      </c>
      <c r="H217" t="s">
        <v>12</v>
      </c>
      <c r="I217">
        <v>2.5</v>
      </c>
    </row>
    <row r="218" spans="1:9" x14ac:dyDescent="0.3">
      <c r="A218" t="s">
        <v>261</v>
      </c>
      <c r="B218" t="s">
        <v>14</v>
      </c>
      <c r="C218" t="s">
        <v>15</v>
      </c>
      <c r="D218">
        <v>25668.959999999999</v>
      </c>
      <c r="E218">
        <v>3</v>
      </c>
      <c r="F218">
        <v>77006.880000000005</v>
      </c>
      <c r="G218" s="1">
        <v>45451</v>
      </c>
      <c r="H218" t="s">
        <v>12</v>
      </c>
      <c r="I218">
        <v>4.8</v>
      </c>
    </row>
    <row r="219" spans="1:9" x14ac:dyDescent="0.3">
      <c r="A219" t="s">
        <v>262</v>
      </c>
      <c r="B219" t="s">
        <v>151</v>
      </c>
      <c r="C219" t="s">
        <v>15</v>
      </c>
      <c r="D219">
        <v>44241.68</v>
      </c>
      <c r="E219">
        <v>4</v>
      </c>
      <c r="F219">
        <v>176966.72</v>
      </c>
      <c r="G219" s="1">
        <v>45553</v>
      </c>
      <c r="H219" t="s">
        <v>42</v>
      </c>
      <c r="I219">
        <v>1.4</v>
      </c>
    </row>
    <row r="220" spans="1:9" x14ac:dyDescent="0.3">
      <c r="A220" t="s">
        <v>263</v>
      </c>
      <c r="B220" t="s">
        <v>82</v>
      </c>
      <c r="C220" t="s">
        <v>22</v>
      </c>
      <c r="D220">
        <v>39749.19</v>
      </c>
      <c r="E220">
        <v>1</v>
      </c>
      <c r="F220">
        <v>39749.19</v>
      </c>
      <c r="G220" s="1">
        <v>45492</v>
      </c>
      <c r="H220" t="s">
        <v>42</v>
      </c>
      <c r="I220">
        <v>3.5</v>
      </c>
    </row>
    <row r="221" spans="1:9" x14ac:dyDescent="0.3">
      <c r="A221" t="s">
        <v>264</v>
      </c>
      <c r="B221" t="s">
        <v>36</v>
      </c>
      <c r="C221" t="s">
        <v>22</v>
      </c>
      <c r="D221">
        <v>37578.46</v>
      </c>
      <c r="E221">
        <v>2</v>
      </c>
      <c r="F221">
        <v>75156.92</v>
      </c>
      <c r="G221" s="1">
        <v>45451</v>
      </c>
      <c r="H221" t="s">
        <v>56</v>
      </c>
      <c r="I221">
        <v>4.4000000000000004</v>
      </c>
    </row>
    <row r="222" spans="1:9" x14ac:dyDescent="0.3">
      <c r="A222" t="s">
        <v>265</v>
      </c>
      <c r="B222" t="s">
        <v>44</v>
      </c>
      <c r="C222" t="s">
        <v>22</v>
      </c>
      <c r="D222">
        <v>37203.65</v>
      </c>
      <c r="E222">
        <v>4</v>
      </c>
      <c r="F222">
        <v>148814.6</v>
      </c>
      <c r="G222" s="1">
        <v>45426</v>
      </c>
      <c r="H222" t="s">
        <v>28</v>
      </c>
      <c r="I222">
        <v>3.5</v>
      </c>
    </row>
    <row r="223" spans="1:9" x14ac:dyDescent="0.3">
      <c r="A223" t="s">
        <v>266</v>
      </c>
      <c r="B223" t="s">
        <v>100</v>
      </c>
      <c r="C223" t="s">
        <v>11</v>
      </c>
      <c r="D223">
        <v>22851.63</v>
      </c>
      <c r="E223">
        <v>1</v>
      </c>
      <c r="F223">
        <v>22851.63</v>
      </c>
      <c r="G223" s="1">
        <v>45426</v>
      </c>
      <c r="H223" t="s">
        <v>28</v>
      </c>
      <c r="I223">
        <v>1</v>
      </c>
    </row>
    <row r="224" spans="1:9" x14ac:dyDescent="0.3">
      <c r="A224" t="s">
        <v>267</v>
      </c>
      <c r="B224" t="s">
        <v>69</v>
      </c>
      <c r="C224" t="s">
        <v>19</v>
      </c>
      <c r="D224">
        <v>27627.84</v>
      </c>
      <c r="E224">
        <v>4</v>
      </c>
      <c r="F224">
        <v>110511.36</v>
      </c>
      <c r="G224" s="1">
        <v>45381</v>
      </c>
      <c r="H224" t="s">
        <v>16</v>
      </c>
      <c r="I224">
        <v>1.8</v>
      </c>
    </row>
    <row r="225" spans="1:9" x14ac:dyDescent="0.3">
      <c r="A225" t="s">
        <v>268</v>
      </c>
      <c r="B225" t="s">
        <v>100</v>
      </c>
      <c r="C225" t="s">
        <v>11</v>
      </c>
      <c r="D225">
        <v>31333.95</v>
      </c>
      <c r="E225">
        <v>3</v>
      </c>
      <c r="F225">
        <v>94001.85</v>
      </c>
      <c r="G225" s="1">
        <v>45525</v>
      </c>
      <c r="H225" t="s">
        <v>12</v>
      </c>
      <c r="I225">
        <v>1.7</v>
      </c>
    </row>
    <row r="226" spans="1:9" x14ac:dyDescent="0.3">
      <c r="A226" t="s">
        <v>269</v>
      </c>
      <c r="B226" t="s">
        <v>60</v>
      </c>
      <c r="C226" t="s">
        <v>25</v>
      </c>
      <c r="D226">
        <v>30911.439999999999</v>
      </c>
      <c r="E226">
        <v>5</v>
      </c>
      <c r="F226">
        <v>154557.20000000001</v>
      </c>
      <c r="G226" s="1">
        <v>45388</v>
      </c>
      <c r="H226" t="s">
        <v>12</v>
      </c>
      <c r="I226">
        <v>3</v>
      </c>
    </row>
    <row r="227" spans="1:9" x14ac:dyDescent="0.3">
      <c r="A227" t="s">
        <v>270</v>
      </c>
      <c r="B227" t="s">
        <v>71</v>
      </c>
      <c r="C227" t="s">
        <v>22</v>
      </c>
      <c r="D227">
        <v>11518.23</v>
      </c>
      <c r="E227">
        <v>1</v>
      </c>
      <c r="F227">
        <v>11518.23</v>
      </c>
      <c r="G227" s="1">
        <v>45687</v>
      </c>
      <c r="H227" t="s">
        <v>12</v>
      </c>
      <c r="I227">
        <v>4.4000000000000004</v>
      </c>
    </row>
    <row r="228" spans="1:9" x14ac:dyDescent="0.3">
      <c r="A228" t="s">
        <v>271</v>
      </c>
      <c r="B228" t="s">
        <v>14</v>
      </c>
      <c r="C228" t="s">
        <v>15</v>
      </c>
      <c r="D228">
        <v>43304.55</v>
      </c>
      <c r="E228">
        <v>5</v>
      </c>
      <c r="F228">
        <v>216522.75</v>
      </c>
      <c r="G228" s="1">
        <v>45654</v>
      </c>
      <c r="H228" t="s">
        <v>16</v>
      </c>
      <c r="I228">
        <v>2.6</v>
      </c>
    </row>
    <row r="229" spans="1:9" x14ac:dyDescent="0.3">
      <c r="A229" t="s">
        <v>272</v>
      </c>
      <c r="B229" t="s">
        <v>100</v>
      </c>
      <c r="C229" t="s">
        <v>11</v>
      </c>
      <c r="D229">
        <v>3710.07</v>
      </c>
      <c r="E229">
        <v>3</v>
      </c>
      <c r="F229">
        <v>11130.21</v>
      </c>
      <c r="G229" s="1">
        <v>45342</v>
      </c>
      <c r="H229" t="s">
        <v>47</v>
      </c>
      <c r="I229">
        <v>4.2</v>
      </c>
    </row>
    <row r="230" spans="1:9" x14ac:dyDescent="0.3">
      <c r="A230" t="s">
        <v>273</v>
      </c>
      <c r="B230" t="s">
        <v>38</v>
      </c>
      <c r="C230" t="s">
        <v>19</v>
      </c>
      <c r="D230">
        <v>34621.21</v>
      </c>
      <c r="E230">
        <v>2</v>
      </c>
      <c r="F230">
        <v>69242.42</v>
      </c>
      <c r="G230" s="1">
        <v>45663</v>
      </c>
      <c r="H230" t="s">
        <v>28</v>
      </c>
      <c r="I230">
        <v>1.8</v>
      </c>
    </row>
    <row r="231" spans="1:9" x14ac:dyDescent="0.3">
      <c r="A231" t="s">
        <v>274</v>
      </c>
      <c r="B231" t="s">
        <v>82</v>
      </c>
      <c r="C231" t="s">
        <v>22</v>
      </c>
      <c r="D231">
        <v>41742.29</v>
      </c>
      <c r="E231">
        <v>5</v>
      </c>
      <c r="F231">
        <v>208711.45</v>
      </c>
      <c r="G231" s="1">
        <v>45488</v>
      </c>
      <c r="H231" t="s">
        <v>42</v>
      </c>
      <c r="I231">
        <v>2.6</v>
      </c>
    </row>
    <row r="232" spans="1:9" x14ac:dyDescent="0.3">
      <c r="A232" t="s">
        <v>275</v>
      </c>
      <c r="B232" t="s">
        <v>60</v>
      </c>
      <c r="C232" t="s">
        <v>25</v>
      </c>
      <c r="D232">
        <v>46858.63</v>
      </c>
      <c r="E232">
        <v>1</v>
      </c>
      <c r="F232">
        <v>46858.63</v>
      </c>
      <c r="G232" s="1">
        <v>45598</v>
      </c>
      <c r="H232" t="s">
        <v>12</v>
      </c>
      <c r="I232">
        <v>3.5</v>
      </c>
    </row>
    <row r="233" spans="1:9" x14ac:dyDescent="0.3">
      <c r="A233" t="s">
        <v>276</v>
      </c>
      <c r="B233" t="s">
        <v>21</v>
      </c>
      <c r="C233" t="s">
        <v>22</v>
      </c>
      <c r="D233">
        <v>5413.09</v>
      </c>
      <c r="E233">
        <v>1</v>
      </c>
      <c r="F233">
        <v>5413.09</v>
      </c>
      <c r="G233" s="1">
        <v>45432</v>
      </c>
      <c r="H233" t="s">
        <v>16</v>
      </c>
      <c r="I233">
        <v>3.4</v>
      </c>
    </row>
    <row r="234" spans="1:9" x14ac:dyDescent="0.3">
      <c r="A234" t="s">
        <v>277</v>
      </c>
      <c r="B234" t="s">
        <v>71</v>
      </c>
      <c r="C234" t="s">
        <v>22</v>
      </c>
      <c r="D234">
        <v>5880.45</v>
      </c>
      <c r="E234">
        <v>1</v>
      </c>
      <c r="F234">
        <v>5880.45</v>
      </c>
      <c r="G234" s="1">
        <v>45544</v>
      </c>
      <c r="H234" t="s">
        <v>56</v>
      </c>
      <c r="I234">
        <v>2</v>
      </c>
    </row>
    <row r="235" spans="1:9" x14ac:dyDescent="0.3">
      <c r="A235" t="s">
        <v>278</v>
      </c>
      <c r="B235" t="s">
        <v>46</v>
      </c>
      <c r="C235" t="s">
        <v>11</v>
      </c>
      <c r="D235">
        <v>35665.26</v>
      </c>
      <c r="E235">
        <v>3</v>
      </c>
      <c r="F235">
        <v>106995.78</v>
      </c>
      <c r="G235" s="1">
        <v>45381</v>
      </c>
      <c r="H235" t="s">
        <v>28</v>
      </c>
      <c r="I235">
        <v>1.2</v>
      </c>
    </row>
    <row r="236" spans="1:9" x14ac:dyDescent="0.3">
      <c r="A236" t="s">
        <v>279</v>
      </c>
      <c r="B236" t="s">
        <v>82</v>
      </c>
      <c r="C236" t="s">
        <v>22</v>
      </c>
      <c r="D236">
        <v>42981.89</v>
      </c>
      <c r="E236">
        <v>5</v>
      </c>
      <c r="F236">
        <v>214909.45</v>
      </c>
      <c r="G236" s="1">
        <v>45659</v>
      </c>
      <c r="H236" t="s">
        <v>47</v>
      </c>
      <c r="I236">
        <v>1.8</v>
      </c>
    </row>
    <row r="237" spans="1:9" x14ac:dyDescent="0.3">
      <c r="A237" t="s">
        <v>280</v>
      </c>
      <c r="B237" t="s">
        <v>46</v>
      </c>
      <c r="C237" t="s">
        <v>11</v>
      </c>
      <c r="D237">
        <v>25629.88</v>
      </c>
      <c r="E237">
        <v>3</v>
      </c>
      <c r="F237">
        <v>76889.64</v>
      </c>
      <c r="G237" s="1">
        <v>45538</v>
      </c>
      <c r="H237" t="s">
        <v>12</v>
      </c>
      <c r="I237">
        <v>2.9</v>
      </c>
    </row>
    <row r="238" spans="1:9" x14ac:dyDescent="0.3">
      <c r="A238" t="s">
        <v>281</v>
      </c>
      <c r="B238" t="s">
        <v>38</v>
      </c>
      <c r="C238" t="s">
        <v>19</v>
      </c>
      <c r="D238">
        <v>22475.94</v>
      </c>
      <c r="E238">
        <v>4</v>
      </c>
      <c r="F238">
        <v>89903.76</v>
      </c>
      <c r="G238" s="1">
        <v>45335</v>
      </c>
      <c r="H238" t="s">
        <v>12</v>
      </c>
      <c r="I238">
        <v>3.5</v>
      </c>
    </row>
    <row r="239" spans="1:9" x14ac:dyDescent="0.3">
      <c r="A239" t="s">
        <v>282</v>
      </c>
      <c r="B239" t="s">
        <v>120</v>
      </c>
      <c r="C239" t="s">
        <v>25</v>
      </c>
      <c r="D239">
        <v>33250.699999999997</v>
      </c>
      <c r="E239">
        <v>5</v>
      </c>
      <c r="F239">
        <v>166253.5</v>
      </c>
      <c r="G239" s="1">
        <v>45584</v>
      </c>
      <c r="H239" t="s">
        <v>28</v>
      </c>
      <c r="I239">
        <v>4.3</v>
      </c>
    </row>
    <row r="240" spans="1:9" x14ac:dyDescent="0.3">
      <c r="A240" t="s">
        <v>283</v>
      </c>
      <c r="B240" t="s">
        <v>50</v>
      </c>
      <c r="C240" t="s">
        <v>11</v>
      </c>
      <c r="D240">
        <v>45045.03</v>
      </c>
      <c r="E240">
        <v>5</v>
      </c>
      <c r="F240">
        <v>225225.15</v>
      </c>
      <c r="G240" s="1">
        <v>45659</v>
      </c>
      <c r="H240" t="s">
        <v>56</v>
      </c>
      <c r="I240">
        <v>3.8</v>
      </c>
    </row>
    <row r="241" spans="1:9" x14ac:dyDescent="0.3">
      <c r="A241" t="s">
        <v>284</v>
      </c>
      <c r="B241" t="s">
        <v>60</v>
      </c>
      <c r="C241" t="s">
        <v>25</v>
      </c>
      <c r="D241">
        <v>3955.86</v>
      </c>
      <c r="E241">
        <v>5</v>
      </c>
      <c r="F241">
        <v>19779.3</v>
      </c>
      <c r="G241" s="1">
        <v>45461</v>
      </c>
      <c r="H241" t="s">
        <v>56</v>
      </c>
      <c r="I241">
        <v>4.7</v>
      </c>
    </row>
    <row r="242" spans="1:9" x14ac:dyDescent="0.3">
      <c r="A242" t="s">
        <v>285</v>
      </c>
      <c r="B242" t="s">
        <v>38</v>
      </c>
      <c r="C242" t="s">
        <v>19</v>
      </c>
      <c r="D242">
        <v>28169.11</v>
      </c>
      <c r="E242">
        <v>5</v>
      </c>
      <c r="F242">
        <v>140845.54999999999</v>
      </c>
      <c r="G242" s="1">
        <v>45416</v>
      </c>
      <c r="H242" t="s">
        <v>16</v>
      </c>
      <c r="I242">
        <v>2.7</v>
      </c>
    </row>
    <row r="243" spans="1:9" x14ac:dyDescent="0.3">
      <c r="A243" t="s">
        <v>286</v>
      </c>
      <c r="B243" t="s">
        <v>18</v>
      </c>
      <c r="C243" t="s">
        <v>19</v>
      </c>
      <c r="D243">
        <v>42785.51</v>
      </c>
      <c r="E243">
        <v>4</v>
      </c>
      <c r="F243">
        <v>171142.04</v>
      </c>
      <c r="G243" s="1">
        <v>45609</v>
      </c>
      <c r="H243" t="s">
        <v>42</v>
      </c>
      <c r="I243">
        <v>1.7</v>
      </c>
    </row>
    <row r="244" spans="1:9" x14ac:dyDescent="0.3">
      <c r="A244" t="s">
        <v>287</v>
      </c>
      <c r="B244" t="s">
        <v>44</v>
      </c>
      <c r="C244" t="s">
        <v>22</v>
      </c>
      <c r="D244">
        <v>25614.35</v>
      </c>
      <c r="E244">
        <v>2</v>
      </c>
      <c r="F244">
        <v>51228.7</v>
      </c>
      <c r="G244" s="1">
        <v>45516</v>
      </c>
      <c r="H244" t="s">
        <v>28</v>
      </c>
      <c r="I244">
        <v>3.5</v>
      </c>
    </row>
    <row r="245" spans="1:9" x14ac:dyDescent="0.3">
      <c r="A245" t="s">
        <v>288</v>
      </c>
      <c r="B245" t="s">
        <v>27</v>
      </c>
      <c r="C245" t="s">
        <v>25</v>
      </c>
      <c r="D245">
        <v>7771.58</v>
      </c>
      <c r="E245">
        <v>5</v>
      </c>
      <c r="F245">
        <v>38857.9</v>
      </c>
      <c r="G245" s="1">
        <v>45521</v>
      </c>
      <c r="H245" t="s">
        <v>12</v>
      </c>
      <c r="I245">
        <v>3.6</v>
      </c>
    </row>
    <row r="246" spans="1:9" x14ac:dyDescent="0.3">
      <c r="A246" t="s">
        <v>289</v>
      </c>
      <c r="B246" t="s">
        <v>50</v>
      </c>
      <c r="C246" t="s">
        <v>11</v>
      </c>
      <c r="D246">
        <v>31059.47</v>
      </c>
      <c r="E246">
        <v>3</v>
      </c>
      <c r="F246">
        <v>93178.41</v>
      </c>
      <c r="G246" s="1">
        <v>45427</v>
      </c>
      <c r="H246" t="s">
        <v>28</v>
      </c>
      <c r="I246">
        <v>4.8</v>
      </c>
    </row>
    <row r="247" spans="1:9" x14ac:dyDescent="0.3">
      <c r="A247" t="s">
        <v>290</v>
      </c>
      <c r="B247" t="s">
        <v>10</v>
      </c>
      <c r="C247" t="s">
        <v>11</v>
      </c>
      <c r="D247">
        <v>14506.11</v>
      </c>
      <c r="E247">
        <v>5</v>
      </c>
      <c r="F247">
        <v>72530.55</v>
      </c>
      <c r="G247" s="1">
        <v>45459</v>
      </c>
      <c r="H247" t="s">
        <v>12</v>
      </c>
      <c r="I247">
        <v>3.5</v>
      </c>
    </row>
    <row r="248" spans="1:9" x14ac:dyDescent="0.3">
      <c r="A248" t="s">
        <v>291</v>
      </c>
      <c r="B248" t="s">
        <v>21</v>
      </c>
      <c r="C248" t="s">
        <v>22</v>
      </c>
      <c r="D248">
        <v>16272.38</v>
      </c>
      <c r="E248">
        <v>3</v>
      </c>
      <c r="F248">
        <v>48817.14</v>
      </c>
      <c r="G248" s="1">
        <v>45458</v>
      </c>
      <c r="H248" t="s">
        <v>12</v>
      </c>
      <c r="I248">
        <v>1.4</v>
      </c>
    </row>
    <row r="249" spans="1:9" x14ac:dyDescent="0.3">
      <c r="A249" t="s">
        <v>292</v>
      </c>
      <c r="B249" t="s">
        <v>54</v>
      </c>
      <c r="C249" t="s">
        <v>15</v>
      </c>
      <c r="D249">
        <v>29222.92</v>
      </c>
      <c r="E249">
        <v>3</v>
      </c>
      <c r="F249">
        <v>87668.76</v>
      </c>
      <c r="G249" s="1">
        <v>45581</v>
      </c>
      <c r="H249" t="s">
        <v>12</v>
      </c>
      <c r="I249">
        <v>2.7</v>
      </c>
    </row>
    <row r="250" spans="1:9" x14ac:dyDescent="0.3">
      <c r="A250" t="s">
        <v>293</v>
      </c>
      <c r="B250" t="s">
        <v>10</v>
      </c>
      <c r="C250" t="s">
        <v>11</v>
      </c>
      <c r="D250">
        <v>1483.5</v>
      </c>
      <c r="E250">
        <v>5</v>
      </c>
      <c r="F250">
        <v>7417.5</v>
      </c>
      <c r="G250" s="1">
        <v>45600</v>
      </c>
      <c r="H250" t="s">
        <v>12</v>
      </c>
      <c r="I250">
        <v>4.3</v>
      </c>
    </row>
    <row r="251" spans="1:9" x14ac:dyDescent="0.3">
      <c r="A251" t="s">
        <v>294</v>
      </c>
      <c r="B251" t="s">
        <v>100</v>
      </c>
      <c r="C251" t="s">
        <v>11</v>
      </c>
      <c r="D251">
        <v>35629.550000000003</v>
      </c>
      <c r="E251">
        <v>2</v>
      </c>
      <c r="F251">
        <v>71259.100000000006</v>
      </c>
      <c r="G251" s="1">
        <v>45689</v>
      </c>
      <c r="H251" t="s">
        <v>28</v>
      </c>
      <c r="I251">
        <v>2</v>
      </c>
    </row>
    <row r="252" spans="1:9" x14ac:dyDescent="0.3">
      <c r="A252" t="s">
        <v>295</v>
      </c>
      <c r="B252" t="s">
        <v>34</v>
      </c>
      <c r="C252" t="s">
        <v>15</v>
      </c>
      <c r="D252">
        <v>1987.98</v>
      </c>
      <c r="E252">
        <v>4</v>
      </c>
      <c r="F252">
        <v>7951.92</v>
      </c>
      <c r="G252" s="1">
        <v>45345</v>
      </c>
      <c r="H252" t="s">
        <v>16</v>
      </c>
      <c r="I252">
        <v>3.3</v>
      </c>
    </row>
    <row r="253" spans="1:9" x14ac:dyDescent="0.3">
      <c r="A253" t="s">
        <v>296</v>
      </c>
      <c r="B253" t="s">
        <v>10</v>
      </c>
      <c r="C253" t="s">
        <v>11</v>
      </c>
      <c r="D253">
        <v>37590.44</v>
      </c>
      <c r="E253">
        <v>4</v>
      </c>
      <c r="F253">
        <v>150361.76</v>
      </c>
      <c r="G253" s="1">
        <v>45379</v>
      </c>
      <c r="H253" t="s">
        <v>28</v>
      </c>
      <c r="I253">
        <v>1.8</v>
      </c>
    </row>
    <row r="254" spans="1:9" x14ac:dyDescent="0.3">
      <c r="A254" t="s">
        <v>297</v>
      </c>
      <c r="B254" t="s">
        <v>27</v>
      </c>
      <c r="C254" t="s">
        <v>25</v>
      </c>
      <c r="D254">
        <v>31759.49</v>
      </c>
      <c r="E254">
        <v>4</v>
      </c>
      <c r="F254">
        <v>127037.96</v>
      </c>
      <c r="G254" s="1">
        <v>45637</v>
      </c>
      <c r="H254" t="s">
        <v>16</v>
      </c>
      <c r="I254">
        <v>2</v>
      </c>
    </row>
    <row r="255" spans="1:9" x14ac:dyDescent="0.3">
      <c r="A255" t="s">
        <v>298</v>
      </c>
      <c r="B255" t="s">
        <v>75</v>
      </c>
      <c r="C255" t="s">
        <v>19</v>
      </c>
      <c r="D255">
        <v>18787.05</v>
      </c>
      <c r="E255">
        <v>4</v>
      </c>
      <c r="F255">
        <v>75148.2</v>
      </c>
      <c r="G255" s="1">
        <v>45684</v>
      </c>
      <c r="H255" t="s">
        <v>47</v>
      </c>
      <c r="I255">
        <v>1.1000000000000001</v>
      </c>
    </row>
    <row r="256" spans="1:9" x14ac:dyDescent="0.3">
      <c r="A256" t="s">
        <v>299</v>
      </c>
      <c r="B256" t="s">
        <v>10</v>
      </c>
      <c r="C256" t="s">
        <v>11</v>
      </c>
      <c r="D256">
        <v>17066.16</v>
      </c>
      <c r="E256">
        <v>1</v>
      </c>
      <c r="F256">
        <v>17066.16</v>
      </c>
      <c r="G256" s="1">
        <v>45550</v>
      </c>
      <c r="H256" t="s">
        <v>28</v>
      </c>
      <c r="I256">
        <v>2.8</v>
      </c>
    </row>
    <row r="257" spans="1:9" x14ac:dyDescent="0.3">
      <c r="A257" t="s">
        <v>300</v>
      </c>
      <c r="B257" t="s">
        <v>34</v>
      </c>
      <c r="C257" t="s">
        <v>15</v>
      </c>
      <c r="D257">
        <v>15068.72</v>
      </c>
      <c r="E257">
        <v>4</v>
      </c>
      <c r="F257">
        <v>60274.879999999997</v>
      </c>
      <c r="G257" s="1">
        <v>45374</v>
      </c>
      <c r="H257" t="s">
        <v>12</v>
      </c>
      <c r="I257">
        <v>1.4</v>
      </c>
    </row>
    <row r="258" spans="1:9" x14ac:dyDescent="0.3">
      <c r="A258" t="s">
        <v>301</v>
      </c>
      <c r="B258" t="s">
        <v>44</v>
      </c>
      <c r="C258" t="s">
        <v>22</v>
      </c>
      <c r="D258">
        <v>44334.11</v>
      </c>
      <c r="E258">
        <v>3</v>
      </c>
      <c r="F258">
        <v>133002.32999999999</v>
      </c>
      <c r="G258" s="1">
        <v>45346</v>
      </c>
      <c r="H258" t="s">
        <v>28</v>
      </c>
      <c r="I258">
        <v>2.6</v>
      </c>
    </row>
    <row r="259" spans="1:9" x14ac:dyDescent="0.3">
      <c r="A259" t="s">
        <v>302</v>
      </c>
      <c r="B259" t="s">
        <v>44</v>
      </c>
      <c r="C259" t="s">
        <v>22</v>
      </c>
      <c r="D259">
        <v>11183.75</v>
      </c>
      <c r="E259">
        <v>1</v>
      </c>
      <c r="F259">
        <v>11183.75</v>
      </c>
      <c r="G259" s="1">
        <v>45611</v>
      </c>
      <c r="H259" t="s">
        <v>47</v>
      </c>
      <c r="I259">
        <v>4.9000000000000004</v>
      </c>
    </row>
    <row r="260" spans="1:9" x14ac:dyDescent="0.3">
      <c r="A260" t="s">
        <v>303</v>
      </c>
      <c r="B260" t="s">
        <v>24</v>
      </c>
      <c r="C260" t="s">
        <v>25</v>
      </c>
      <c r="D260">
        <v>2923.95</v>
      </c>
      <c r="E260">
        <v>5</v>
      </c>
      <c r="F260">
        <v>14619.75</v>
      </c>
      <c r="G260" s="1">
        <v>45520</v>
      </c>
      <c r="H260" t="s">
        <v>56</v>
      </c>
      <c r="I260">
        <v>1.1000000000000001</v>
      </c>
    </row>
    <row r="261" spans="1:9" x14ac:dyDescent="0.3">
      <c r="A261" t="s">
        <v>304</v>
      </c>
      <c r="B261" t="s">
        <v>75</v>
      </c>
      <c r="C261" t="s">
        <v>19</v>
      </c>
      <c r="D261">
        <v>7339.66</v>
      </c>
      <c r="E261">
        <v>2</v>
      </c>
      <c r="F261">
        <v>14679.32</v>
      </c>
      <c r="G261" s="1">
        <v>45625</v>
      </c>
      <c r="H261" t="s">
        <v>56</v>
      </c>
      <c r="I261">
        <v>1.1000000000000001</v>
      </c>
    </row>
    <row r="262" spans="1:9" x14ac:dyDescent="0.3">
      <c r="A262" t="s">
        <v>305</v>
      </c>
      <c r="B262" t="s">
        <v>32</v>
      </c>
      <c r="C262" t="s">
        <v>25</v>
      </c>
      <c r="D262">
        <v>41405.370000000003</v>
      </c>
      <c r="E262">
        <v>2</v>
      </c>
      <c r="F262">
        <v>82810.740000000005</v>
      </c>
      <c r="G262" s="1">
        <v>45571</v>
      </c>
      <c r="H262" t="s">
        <v>28</v>
      </c>
      <c r="I262">
        <v>4.5999999999999996</v>
      </c>
    </row>
    <row r="263" spans="1:9" x14ac:dyDescent="0.3">
      <c r="A263" t="s">
        <v>306</v>
      </c>
      <c r="B263" t="s">
        <v>27</v>
      </c>
      <c r="C263" t="s">
        <v>25</v>
      </c>
      <c r="D263">
        <v>36114.379999999997</v>
      </c>
      <c r="E263">
        <v>1</v>
      </c>
      <c r="F263">
        <v>36114.379999999997</v>
      </c>
      <c r="G263" s="1">
        <v>45536</v>
      </c>
      <c r="H263" t="s">
        <v>56</v>
      </c>
      <c r="I263">
        <v>4.5999999999999996</v>
      </c>
    </row>
    <row r="264" spans="1:9" x14ac:dyDescent="0.3">
      <c r="A264" t="s">
        <v>307</v>
      </c>
      <c r="B264" t="s">
        <v>44</v>
      </c>
      <c r="C264" t="s">
        <v>22</v>
      </c>
      <c r="D264">
        <v>19915.59</v>
      </c>
      <c r="E264">
        <v>5</v>
      </c>
      <c r="F264">
        <v>99577.95</v>
      </c>
      <c r="G264" s="1">
        <v>45541</v>
      </c>
      <c r="H264" t="s">
        <v>42</v>
      </c>
      <c r="I264">
        <v>1.2</v>
      </c>
    </row>
    <row r="265" spans="1:9" x14ac:dyDescent="0.3">
      <c r="A265" t="s">
        <v>308</v>
      </c>
      <c r="B265" t="s">
        <v>44</v>
      </c>
      <c r="C265" t="s">
        <v>22</v>
      </c>
      <c r="D265">
        <v>18366.97</v>
      </c>
      <c r="E265">
        <v>4</v>
      </c>
      <c r="F265">
        <v>73467.88</v>
      </c>
      <c r="G265" s="1">
        <v>45434</v>
      </c>
      <c r="H265" t="s">
        <v>42</v>
      </c>
      <c r="I265">
        <v>1.2</v>
      </c>
    </row>
    <row r="266" spans="1:9" x14ac:dyDescent="0.3">
      <c r="A266" t="s">
        <v>309</v>
      </c>
      <c r="B266" t="s">
        <v>44</v>
      </c>
      <c r="C266" t="s">
        <v>22</v>
      </c>
      <c r="D266">
        <v>8563.14</v>
      </c>
      <c r="E266">
        <v>2</v>
      </c>
      <c r="F266">
        <v>17126.28</v>
      </c>
      <c r="G266" s="1">
        <v>45354</v>
      </c>
      <c r="H266" t="s">
        <v>42</v>
      </c>
      <c r="I266">
        <v>3.1</v>
      </c>
    </row>
    <row r="267" spans="1:9" x14ac:dyDescent="0.3">
      <c r="A267" t="s">
        <v>310</v>
      </c>
      <c r="B267" t="s">
        <v>69</v>
      </c>
      <c r="C267" t="s">
        <v>19</v>
      </c>
      <c r="D267">
        <v>40461.79</v>
      </c>
      <c r="E267">
        <v>1</v>
      </c>
      <c r="F267">
        <v>40461.79</v>
      </c>
      <c r="G267" s="1">
        <v>45431</v>
      </c>
      <c r="H267" t="s">
        <v>47</v>
      </c>
      <c r="I267">
        <v>4.9000000000000004</v>
      </c>
    </row>
    <row r="268" spans="1:9" x14ac:dyDescent="0.3">
      <c r="A268" t="s">
        <v>311</v>
      </c>
      <c r="B268" t="s">
        <v>34</v>
      </c>
      <c r="C268" t="s">
        <v>15</v>
      </c>
      <c r="D268">
        <v>6943.4</v>
      </c>
      <c r="E268">
        <v>5</v>
      </c>
      <c r="F268">
        <v>34717</v>
      </c>
      <c r="G268" s="1">
        <v>45489</v>
      </c>
      <c r="H268" t="s">
        <v>12</v>
      </c>
      <c r="I268">
        <v>1.5</v>
      </c>
    </row>
    <row r="269" spans="1:9" x14ac:dyDescent="0.3">
      <c r="A269" t="s">
        <v>312</v>
      </c>
      <c r="B269" t="s">
        <v>75</v>
      </c>
      <c r="C269" t="s">
        <v>19</v>
      </c>
      <c r="D269">
        <v>14517.08</v>
      </c>
      <c r="E269">
        <v>1</v>
      </c>
      <c r="F269">
        <v>14517.08</v>
      </c>
      <c r="G269" s="1">
        <v>45431</v>
      </c>
      <c r="H269" t="s">
        <v>16</v>
      </c>
      <c r="I269">
        <v>3</v>
      </c>
    </row>
    <row r="270" spans="1:9" x14ac:dyDescent="0.3">
      <c r="A270" t="s">
        <v>313</v>
      </c>
      <c r="B270" t="s">
        <v>36</v>
      </c>
      <c r="C270" t="s">
        <v>22</v>
      </c>
      <c r="D270">
        <v>4248.25</v>
      </c>
      <c r="E270">
        <v>5</v>
      </c>
      <c r="F270">
        <v>21241.25</v>
      </c>
      <c r="G270" s="1">
        <v>45492</v>
      </c>
      <c r="H270" t="s">
        <v>28</v>
      </c>
      <c r="I270">
        <v>4.0999999999999996</v>
      </c>
    </row>
    <row r="271" spans="1:9" x14ac:dyDescent="0.3">
      <c r="A271" t="s">
        <v>314</v>
      </c>
      <c r="B271" t="s">
        <v>27</v>
      </c>
      <c r="C271" t="s">
        <v>25</v>
      </c>
      <c r="D271">
        <v>43118.73</v>
      </c>
      <c r="E271">
        <v>5</v>
      </c>
      <c r="F271">
        <v>215593.65</v>
      </c>
      <c r="G271" s="1">
        <v>45638</v>
      </c>
      <c r="H271" t="s">
        <v>12</v>
      </c>
      <c r="I271">
        <v>3.1</v>
      </c>
    </row>
    <row r="272" spans="1:9" x14ac:dyDescent="0.3">
      <c r="A272" t="s">
        <v>315</v>
      </c>
      <c r="B272" t="s">
        <v>151</v>
      </c>
      <c r="C272" t="s">
        <v>15</v>
      </c>
      <c r="D272">
        <v>10086.76</v>
      </c>
      <c r="E272">
        <v>2</v>
      </c>
      <c r="F272">
        <v>20173.52</v>
      </c>
      <c r="G272" s="1">
        <v>45377</v>
      </c>
      <c r="H272" t="s">
        <v>28</v>
      </c>
      <c r="I272">
        <v>1.9</v>
      </c>
    </row>
    <row r="273" spans="1:9" x14ac:dyDescent="0.3">
      <c r="A273" t="s">
        <v>316</v>
      </c>
      <c r="B273" t="s">
        <v>18</v>
      </c>
      <c r="C273" t="s">
        <v>19</v>
      </c>
      <c r="D273">
        <v>35373.5</v>
      </c>
      <c r="E273">
        <v>4</v>
      </c>
      <c r="F273">
        <v>141494</v>
      </c>
      <c r="G273" s="1">
        <v>45513</v>
      </c>
      <c r="H273" t="s">
        <v>47</v>
      </c>
      <c r="I273">
        <v>2.9</v>
      </c>
    </row>
    <row r="274" spans="1:9" x14ac:dyDescent="0.3">
      <c r="A274" t="s">
        <v>317</v>
      </c>
      <c r="B274" t="s">
        <v>32</v>
      </c>
      <c r="C274" t="s">
        <v>25</v>
      </c>
      <c r="D274">
        <v>43002.68</v>
      </c>
      <c r="E274">
        <v>3</v>
      </c>
      <c r="F274">
        <v>129008.04</v>
      </c>
      <c r="G274" s="1">
        <v>45387</v>
      </c>
      <c r="H274" t="s">
        <v>16</v>
      </c>
      <c r="I274">
        <v>4.2</v>
      </c>
    </row>
    <row r="275" spans="1:9" x14ac:dyDescent="0.3">
      <c r="A275" t="s">
        <v>318</v>
      </c>
      <c r="B275" t="s">
        <v>71</v>
      </c>
      <c r="C275" t="s">
        <v>22</v>
      </c>
      <c r="D275">
        <v>46388.81</v>
      </c>
      <c r="E275">
        <v>1</v>
      </c>
      <c r="F275">
        <v>46388.81</v>
      </c>
      <c r="G275" s="1">
        <v>45343</v>
      </c>
      <c r="H275" t="s">
        <v>42</v>
      </c>
      <c r="I275">
        <v>4.4000000000000004</v>
      </c>
    </row>
    <row r="276" spans="1:9" x14ac:dyDescent="0.3">
      <c r="A276" t="s">
        <v>319</v>
      </c>
      <c r="B276" t="s">
        <v>50</v>
      </c>
      <c r="C276" t="s">
        <v>11</v>
      </c>
      <c r="D276">
        <v>47384.51</v>
      </c>
      <c r="E276">
        <v>3</v>
      </c>
      <c r="F276">
        <v>142153.53</v>
      </c>
      <c r="G276" s="1">
        <v>45441</v>
      </c>
      <c r="H276" t="s">
        <v>56</v>
      </c>
      <c r="I276">
        <v>1.5</v>
      </c>
    </row>
    <row r="277" spans="1:9" x14ac:dyDescent="0.3">
      <c r="A277" t="s">
        <v>320</v>
      </c>
      <c r="B277" t="s">
        <v>34</v>
      </c>
      <c r="C277" t="s">
        <v>15</v>
      </c>
      <c r="D277">
        <v>15826.47</v>
      </c>
      <c r="E277">
        <v>2</v>
      </c>
      <c r="F277">
        <v>31652.94</v>
      </c>
      <c r="G277" s="1">
        <v>45486</v>
      </c>
      <c r="H277" t="s">
        <v>56</v>
      </c>
      <c r="I277">
        <v>4.4000000000000004</v>
      </c>
    </row>
    <row r="278" spans="1:9" x14ac:dyDescent="0.3">
      <c r="A278" t="s">
        <v>321</v>
      </c>
      <c r="B278" t="s">
        <v>75</v>
      </c>
      <c r="C278" t="s">
        <v>19</v>
      </c>
      <c r="D278">
        <v>33927.57</v>
      </c>
      <c r="E278">
        <v>5</v>
      </c>
      <c r="F278">
        <v>169637.85</v>
      </c>
      <c r="G278" s="1">
        <v>45690</v>
      </c>
      <c r="H278" t="s">
        <v>28</v>
      </c>
      <c r="I278">
        <v>2.6</v>
      </c>
    </row>
    <row r="279" spans="1:9" x14ac:dyDescent="0.3">
      <c r="A279" t="s">
        <v>322</v>
      </c>
      <c r="B279" t="s">
        <v>36</v>
      </c>
      <c r="C279" t="s">
        <v>22</v>
      </c>
      <c r="D279">
        <v>27400.84</v>
      </c>
      <c r="E279">
        <v>1</v>
      </c>
      <c r="F279">
        <v>27400.84</v>
      </c>
      <c r="G279" s="1">
        <v>45695</v>
      </c>
      <c r="H279" t="s">
        <v>56</v>
      </c>
      <c r="I279">
        <v>3.6</v>
      </c>
    </row>
    <row r="280" spans="1:9" x14ac:dyDescent="0.3">
      <c r="A280" t="s">
        <v>323</v>
      </c>
      <c r="B280" t="s">
        <v>36</v>
      </c>
      <c r="C280" t="s">
        <v>22</v>
      </c>
      <c r="D280">
        <v>37684.28</v>
      </c>
      <c r="E280">
        <v>4</v>
      </c>
      <c r="F280">
        <v>150737.12</v>
      </c>
      <c r="G280" s="1">
        <v>45384</v>
      </c>
      <c r="H280" t="s">
        <v>42</v>
      </c>
      <c r="I280">
        <v>3.2</v>
      </c>
    </row>
    <row r="281" spans="1:9" x14ac:dyDescent="0.3">
      <c r="A281" t="s">
        <v>324</v>
      </c>
      <c r="B281" t="s">
        <v>30</v>
      </c>
      <c r="C281" t="s">
        <v>15</v>
      </c>
      <c r="D281">
        <v>22968.18</v>
      </c>
      <c r="E281">
        <v>4</v>
      </c>
      <c r="F281">
        <v>91872.72</v>
      </c>
      <c r="G281" s="1">
        <v>45680</v>
      </c>
      <c r="H281" t="s">
        <v>56</v>
      </c>
      <c r="I281">
        <v>4.0999999999999996</v>
      </c>
    </row>
    <row r="282" spans="1:9" x14ac:dyDescent="0.3">
      <c r="A282" t="s">
        <v>325</v>
      </c>
      <c r="B282" t="s">
        <v>120</v>
      </c>
      <c r="C282" t="s">
        <v>25</v>
      </c>
      <c r="D282">
        <v>43444.93</v>
      </c>
      <c r="E282">
        <v>1</v>
      </c>
      <c r="F282">
        <v>43444.93</v>
      </c>
      <c r="G282" s="1">
        <v>45667</v>
      </c>
      <c r="H282" t="s">
        <v>28</v>
      </c>
      <c r="I282">
        <v>4</v>
      </c>
    </row>
    <row r="283" spans="1:9" x14ac:dyDescent="0.3">
      <c r="A283" t="s">
        <v>326</v>
      </c>
      <c r="B283" t="s">
        <v>82</v>
      </c>
      <c r="C283" t="s">
        <v>22</v>
      </c>
      <c r="D283">
        <v>36083.22</v>
      </c>
      <c r="E283">
        <v>3</v>
      </c>
      <c r="F283">
        <v>108249.66</v>
      </c>
      <c r="G283" s="1">
        <v>45498</v>
      </c>
      <c r="H283" t="s">
        <v>47</v>
      </c>
      <c r="I283">
        <v>2.9</v>
      </c>
    </row>
    <row r="284" spans="1:9" x14ac:dyDescent="0.3">
      <c r="A284" t="s">
        <v>327</v>
      </c>
      <c r="B284" t="s">
        <v>24</v>
      </c>
      <c r="C284" t="s">
        <v>25</v>
      </c>
      <c r="D284">
        <v>43043.82</v>
      </c>
      <c r="E284">
        <v>5</v>
      </c>
      <c r="F284">
        <v>215219.1</v>
      </c>
      <c r="G284" s="1">
        <v>45605</v>
      </c>
      <c r="H284" t="s">
        <v>28</v>
      </c>
      <c r="I284">
        <v>4.0999999999999996</v>
      </c>
    </row>
    <row r="285" spans="1:9" x14ac:dyDescent="0.3">
      <c r="A285" t="s">
        <v>328</v>
      </c>
      <c r="B285" t="s">
        <v>21</v>
      </c>
      <c r="C285" t="s">
        <v>22</v>
      </c>
      <c r="D285">
        <v>1517.63</v>
      </c>
      <c r="E285">
        <v>4</v>
      </c>
      <c r="F285">
        <v>6070.52</v>
      </c>
      <c r="G285" s="1">
        <v>45606</v>
      </c>
      <c r="H285" t="s">
        <v>42</v>
      </c>
      <c r="I285">
        <v>2</v>
      </c>
    </row>
    <row r="286" spans="1:9" x14ac:dyDescent="0.3">
      <c r="A286" t="s">
        <v>329</v>
      </c>
      <c r="B286" t="s">
        <v>93</v>
      </c>
      <c r="C286" t="s">
        <v>11</v>
      </c>
      <c r="D286">
        <v>1626.1</v>
      </c>
      <c r="E286">
        <v>5</v>
      </c>
      <c r="F286">
        <v>8130.5</v>
      </c>
      <c r="G286" s="1">
        <v>45611</v>
      </c>
      <c r="H286" t="s">
        <v>47</v>
      </c>
      <c r="I286">
        <v>2.8</v>
      </c>
    </row>
    <row r="287" spans="1:9" x14ac:dyDescent="0.3">
      <c r="A287" t="s">
        <v>330</v>
      </c>
      <c r="B287" t="s">
        <v>54</v>
      </c>
      <c r="C287" t="s">
        <v>15</v>
      </c>
      <c r="D287">
        <v>40384.620000000003</v>
      </c>
      <c r="E287">
        <v>1</v>
      </c>
      <c r="F287">
        <v>40384.620000000003</v>
      </c>
      <c r="G287" s="1">
        <v>45409</v>
      </c>
      <c r="H287" t="s">
        <v>16</v>
      </c>
      <c r="I287">
        <v>4.2</v>
      </c>
    </row>
    <row r="288" spans="1:9" x14ac:dyDescent="0.3">
      <c r="A288" t="s">
        <v>331</v>
      </c>
      <c r="B288" t="s">
        <v>54</v>
      </c>
      <c r="C288" t="s">
        <v>15</v>
      </c>
      <c r="D288">
        <v>37295.08</v>
      </c>
      <c r="E288">
        <v>1</v>
      </c>
      <c r="F288">
        <v>37295.08</v>
      </c>
      <c r="G288" s="1">
        <v>45694</v>
      </c>
      <c r="H288" t="s">
        <v>16</v>
      </c>
      <c r="I288">
        <v>4</v>
      </c>
    </row>
    <row r="289" spans="1:9" x14ac:dyDescent="0.3">
      <c r="A289" t="s">
        <v>332</v>
      </c>
      <c r="B289" t="s">
        <v>30</v>
      </c>
      <c r="C289" t="s">
        <v>15</v>
      </c>
      <c r="D289">
        <v>13915.5</v>
      </c>
      <c r="E289">
        <v>3</v>
      </c>
      <c r="F289">
        <v>41746.5</v>
      </c>
      <c r="G289" s="1">
        <v>45475</v>
      </c>
      <c r="H289" t="s">
        <v>56</v>
      </c>
      <c r="I289">
        <v>3.9</v>
      </c>
    </row>
    <row r="290" spans="1:9" x14ac:dyDescent="0.3">
      <c r="A290" t="s">
        <v>333</v>
      </c>
      <c r="B290" t="s">
        <v>44</v>
      </c>
      <c r="C290" t="s">
        <v>22</v>
      </c>
      <c r="D290">
        <v>23625.05</v>
      </c>
      <c r="E290">
        <v>2</v>
      </c>
      <c r="F290">
        <v>47250.1</v>
      </c>
      <c r="G290" s="1">
        <v>45480</v>
      </c>
      <c r="H290" t="s">
        <v>12</v>
      </c>
      <c r="I290">
        <v>2</v>
      </c>
    </row>
    <row r="291" spans="1:9" x14ac:dyDescent="0.3">
      <c r="A291" t="s">
        <v>334</v>
      </c>
      <c r="B291" t="s">
        <v>27</v>
      </c>
      <c r="C291" t="s">
        <v>25</v>
      </c>
      <c r="D291">
        <v>464.18</v>
      </c>
      <c r="E291">
        <v>3</v>
      </c>
      <c r="F291">
        <v>1392.54</v>
      </c>
      <c r="G291" s="1">
        <v>45506</v>
      </c>
      <c r="H291" t="s">
        <v>12</v>
      </c>
      <c r="I291">
        <v>4.0999999999999996</v>
      </c>
    </row>
    <row r="292" spans="1:9" x14ac:dyDescent="0.3">
      <c r="A292" t="s">
        <v>335</v>
      </c>
      <c r="B292" t="s">
        <v>54</v>
      </c>
      <c r="C292" t="s">
        <v>15</v>
      </c>
      <c r="D292">
        <v>26667.15</v>
      </c>
      <c r="E292">
        <v>2</v>
      </c>
      <c r="F292">
        <v>53334.3</v>
      </c>
      <c r="G292" s="1">
        <v>45601</v>
      </c>
      <c r="H292" t="s">
        <v>47</v>
      </c>
      <c r="I292">
        <v>1.9</v>
      </c>
    </row>
    <row r="293" spans="1:9" x14ac:dyDescent="0.3">
      <c r="A293" t="s">
        <v>336</v>
      </c>
      <c r="B293" t="s">
        <v>93</v>
      </c>
      <c r="C293" t="s">
        <v>11</v>
      </c>
      <c r="D293">
        <v>29093.02</v>
      </c>
      <c r="E293">
        <v>2</v>
      </c>
      <c r="F293">
        <v>58186.04</v>
      </c>
      <c r="G293" s="1">
        <v>45597</v>
      </c>
      <c r="H293" t="s">
        <v>12</v>
      </c>
      <c r="I293">
        <v>3.7</v>
      </c>
    </row>
    <row r="294" spans="1:9" x14ac:dyDescent="0.3">
      <c r="A294" t="s">
        <v>337</v>
      </c>
      <c r="B294" t="s">
        <v>34</v>
      </c>
      <c r="C294" t="s">
        <v>15</v>
      </c>
      <c r="D294">
        <v>44770.65</v>
      </c>
      <c r="E294">
        <v>3</v>
      </c>
      <c r="F294">
        <v>134311.95000000001</v>
      </c>
      <c r="G294" s="1">
        <v>45638</v>
      </c>
      <c r="H294" t="s">
        <v>28</v>
      </c>
      <c r="I294">
        <v>3.5</v>
      </c>
    </row>
    <row r="295" spans="1:9" x14ac:dyDescent="0.3">
      <c r="A295" t="s">
        <v>338</v>
      </c>
      <c r="B295" t="s">
        <v>60</v>
      </c>
      <c r="C295" t="s">
        <v>25</v>
      </c>
      <c r="D295">
        <v>32749.9</v>
      </c>
      <c r="E295">
        <v>1</v>
      </c>
      <c r="F295">
        <v>32749.9</v>
      </c>
      <c r="G295" s="1">
        <v>45506</v>
      </c>
      <c r="H295" t="s">
        <v>56</v>
      </c>
      <c r="I295">
        <v>3.8</v>
      </c>
    </row>
    <row r="296" spans="1:9" x14ac:dyDescent="0.3">
      <c r="A296" t="s">
        <v>339</v>
      </c>
      <c r="B296" t="s">
        <v>10</v>
      </c>
      <c r="C296" t="s">
        <v>11</v>
      </c>
      <c r="D296">
        <v>4990.66</v>
      </c>
      <c r="E296">
        <v>3</v>
      </c>
      <c r="F296">
        <v>14971.98</v>
      </c>
      <c r="G296" s="1">
        <v>45442</v>
      </c>
      <c r="H296" t="s">
        <v>28</v>
      </c>
      <c r="I296">
        <v>4.5999999999999996</v>
      </c>
    </row>
    <row r="297" spans="1:9" x14ac:dyDescent="0.3">
      <c r="A297" t="s">
        <v>340</v>
      </c>
      <c r="B297" t="s">
        <v>54</v>
      </c>
      <c r="C297" t="s">
        <v>15</v>
      </c>
      <c r="D297">
        <v>11044.89</v>
      </c>
      <c r="E297">
        <v>3</v>
      </c>
      <c r="F297">
        <v>33134.67</v>
      </c>
      <c r="G297" s="1">
        <v>45621</v>
      </c>
      <c r="H297" t="s">
        <v>28</v>
      </c>
      <c r="I297">
        <v>1.5</v>
      </c>
    </row>
    <row r="298" spans="1:9" x14ac:dyDescent="0.3">
      <c r="A298" t="s">
        <v>341</v>
      </c>
      <c r="B298" t="s">
        <v>93</v>
      </c>
      <c r="C298" t="s">
        <v>11</v>
      </c>
      <c r="D298">
        <v>46032.160000000003</v>
      </c>
      <c r="E298">
        <v>5</v>
      </c>
      <c r="F298">
        <v>230160.8</v>
      </c>
      <c r="G298" s="1">
        <v>45634</v>
      </c>
      <c r="H298" t="s">
        <v>12</v>
      </c>
      <c r="I298">
        <v>4.4000000000000004</v>
      </c>
    </row>
    <row r="299" spans="1:9" x14ac:dyDescent="0.3">
      <c r="A299" t="s">
        <v>342</v>
      </c>
      <c r="B299" t="s">
        <v>10</v>
      </c>
      <c r="C299" t="s">
        <v>11</v>
      </c>
      <c r="D299">
        <v>43965.67</v>
      </c>
      <c r="E299">
        <v>3</v>
      </c>
      <c r="F299">
        <v>131897.01</v>
      </c>
      <c r="G299" s="1">
        <v>45529</v>
      </c>
      <c r="H299" t="s">
        <v>12</v>
      </c>
      <c r="I299">
        <v>1.1000000000000001</v>
      </c>
    </row>
    <row r="300" spans="1:9" x14ac:dyDescent="0.3">
      <c r="A300" t="s">
        <v>343</v>
      </c>
      <c r="B300" t="s">
        <v>54</v>
      </c>
      <c r="C300" t="s">
        <v>15</v>
      </c>
      <c r="D300">
        <v>6037.98</v>
      </c>
      <c r="E300">
        <v>2</v>
      </c>
      <c r="F300">
        <v>12075.96</v>
      </c>
      <c r="G300" s="1">
        <v>45437</v>
      </c>
      <c r="H300" t="s">
        <v>42</v>
      </c>
      <c r="I300">
        <v>3.6</v>
      </c>
    </row>
    <row r="301" spans="1:9" x14ac:dyDescent="0.3">
      <c r="A301" t="s">
        <v>344</v>
      </c>
      <c r="B301" t="s">
        <v>46</v>
      </c>
      <c r="C301" t="s">
        <v>11</v>
      </c>
      <c r="D301">
        <v>22747.82</v>
      </c>
      <c r="E301">
        <v>3</v>
      </c>
      <c r="F301">
        <v>68243.460000000006</v>
      </c>
      <c r="G301" s="1">
        <v>45555</v>
      </c>
      <c r="H301" t="s">
        <v>12</v>
      </c>
      <c r="I301">
        <v>4.5</v>
      </c>
    </row>
    <row r="302" spans="1:9" x14ac:dyDescent="0.3">
      <c r="A302" t="s">
        <v>345</v>
      </c>
      <c r="B302" t="s">
        <v>82</v>
      </c>
      <c r="C302" t="s">
        <v>22</v>
      </c>
      <c r="D302">
        <v>26615.919999999998</v>
      </c>
      <c r="E302">
        <v>2</v>
      </c>
      <c r="F302">
        <v>53231.839999999997</v>
      </c>
      <c r="G302" s="1">
        <v>45464</v>
      </c>
      <c r="H302" t="s">
        <v>42</v>
      </c>
      <c r="I302">
        <v>2.2999999999999998</v>
      </c>
    </row>
    <row r="303" spans="1:9" x14ac:dyDescent="0.3">
      <c r="A303" t="s">
        <v>346</v>
      </c>
      <c r="B303" t="s">
        <v>18</v>
      </c>
      <c r="C303" t="s">
        <v>19</v>
      </c>
      <c r="D303">
        <v>48234.31</v>
      </c>
      <c r="E303">
        <v>2</v>
      </c>
      <c r="F303">
        <v>96468.62</v>
      </c>
      <c r="G303" s="1">
        <v>45481</v>
      </c>
      <c r="H303" t="s">
        <v>12</v>
      </c>
      <c r="I303">
        <v>1.8</v>
      </c>
    </row>
    <row r="304" spans="1:9" x14ac:dyDescent="0.3">
      <c r="A304" t="s">
        <v>347</v>
      </c>
      <c r="B304" t="s">
        <v>32</v>
      </c>
      <c r="C304" t="s">
        <v>25</v>
      </c>
      <c r="D304">
        <v>24172.560000000001</v>
      </c>
      <c r="E304">
        <v>1</v>
      </c>
      <c r="F304">
        <v>24172.560000000001</v>
      </c>
      <c r="G304" s="1">
        <v>45646</v>
      </c>
      <c r="H304" t="s">
        <v>16</v>
      </c>
      <c r="I304">
        <v>3.1</v>
      </c>
    </row>
    <row r="305" spans="1:9" x14ac:dyDescent="0.3">
      <c r="A305" t="s">
        <v>348</v>
      </c>
      <c r="B305" t="s">
        <v>93</v>
      </c>
      <c r="C305" t="s">
        <v>11</v>
      </c>
      <c r="D305">
        <v>16385.37</v>
      </c>
      <c r="E305">
        <v>3</v>
      </c>
      <c r="F305">
        <v>49156.11</v>
      </c>
      <c r="G305" s="1">
        <v>45346</v>
      </c>
      <c r="H305" t="s">
        <v>28</v>
      </c>
      <c r="I305">
        <v>1.6</v>
      </c>
    </row>
    <row r="306" spans="1:9" x14ac:dyDescent="0.3">
      <c r="A306" t="s">
        <v>349</v>
      </c>
      <c r="B306" t="s">
        <v>54</v>
      </c>
      <c r="C306" t="s">
        <v>15</v>
      </c>
      <c r="D306">
        <v>29527.22</v>
      </c>
      <c r="E306">
        <v>3</v>
      </c>
      <c r="F306">
        <v>88581.66</v>
      </c>
      <c r="G306" s="1">
        <v>45381</v>
      </c>
      <c r="H306" t="s">
        <v>42</v>
      </c>
      <c r="I306">
        <v>1.2</v>
      </c>
    </row>
    <row r="307" spans="1:9" x14ac:dyDescent="0.3">
      <c r="A307" t="s">
        <v>350</v>
      </c>
      <c r="B307" t="s">
        <v>32</v>
      </c>
      <c r="C307" t="s">
        <v>25</v>
      </c>
      <c r="D307">
        <v>42516.65</v>
      </c>
      <c r="E307">
        <v>3</v>
      </c>
      <c r="F307">
        <v>127549.95</v>
      </c>
      <c r="G307" s="1">
        <v>45410</v>
      </c>
      <c r="H307" t="s">
        <v>56</v>
      </c>
      <c r="I307">
        <v>1.8</v>
      </c>
    </row>
    <row r="308" spans="1:9" x14ac:dyDescent="0.3">
      <c r="A308" t="s">
        <v>351</v>
      </c>
      <c r="B308" t="s">
        <v>46</v>
      </c>
      <c r="C308" t="s">
        <v>11</v>
      </c>
      <c r="D308">
        <v>27175.37</v>
      </c>
      <c r="E308">
        <v>5</v>
      </c>
      <c r="F308">
        <v>135876.85</v>
      </c>
      <c r="G308" s="1">
        <v>45506</v>
      </c>
      <c r="H308" t="s">
        <v>42</v>
      </c>
      <c r="I308">
        <v>3.9</v>
      </c>
    </row>
    <row r="309" spans="1:9" x14ac:dyDescent="0.3">
      <c r="A309" t="s">
        <v>352</v>
      </c>
      <c r="B309" t="s">
        <v>151</v>
      </c>
      <c r="C309" t="s">
        <v>15</v>
      </c>
      <c r="D309">
        <v>25379.68</v>
      </c>
      <c r="E309">
        <v>4</v>
      </c>
      <c r="F309">
        <v>101518.72</v>
      </c>
      <c r="G309" s="1">
        <v>45571</v>
      </c>
      <c r="H309" t="s">
        <v>28</v>
      </c>
      <c r="I309">
        <v>3.5</v>
      </c>
    </row>
    <row r="310" spans="1:9" x14ac:dyDescent="0.3">
      <c r="A310" t="s">
        <v>353</v>
      </c>
      <c r="B310" t="s">
        <v>10</v>
      </c>
      <c r="C310" t="s">
        <v>11</v>
      </c>
      <c r="D310">
        <v>29568.18</v>
      </c>
      <c r="E310">
        <v>3</v>
      </c>
      <c r="F310">
        <v>88704.54</v>
      </c>
      <c r="G310" s="1">
        <v>45669</v>
      </c>
      <c r="H310" t="s">
        <v>47</v>
      </c>
      <c r="I310">
        <v>1.3</v>
      </c>
    </row>
    <row r="311" spans="1:9" x14ac:dyDescent="0.3">
      <c r="A311" t="s">
        <v>354</v>
      </c>
      <c r="B311" t="s">
        <v>93</v>
      </c>
      <c r="C311" t="s">
        <v>11</v>
      </c>
      <c r="D311">
        <v>23562.27</v>
      </c>
      <c r="E311">
        <v>2</v>
      </c>
      <c r="F311">
        <v>47124.54</v>
      </c>
      <c r="G311" s="1">
        <v>45649</v>
      </c>
      <c r="H311" t="s">
        <v>47</v>
      </c>
      <c r="I311">
        <v>4.9000000000000004</v>
      </c>
    </row>
    <row r="312" spans="1:9" x14ac:dyDescent="0.3">
      <c r="A312" t="s">
        <v>355</v>
      </c>
      <c r="B312" t="s">
        <v>151</v>
      </c>
      <c r="C312" t="s">
        <v>15</v>
      </c>
      <c r="D312">
        <v>19134.259999999998</v>
      </c>
      <c r="E312">
        <v>2</v>
      </c>
      <c r="F312">
        <v>38268.519999999997</v>
      </c>
      <c r="G312" s="1">
        <v>45334</v>
      </c>
      <c r="H312" t="s">
        <v>42</v>
      </c>
      <c r="I312">
        <v>4.5999999999999996</v>
      </c>
    </row>
    <row r="313" spans="1:9" x14ac:dyDescent="0.3">
      <c r="A313" t="s">
        <v>356</v>
      </c>
      <c r="B313" t="s">
        <v>93</v>
      </c>
      <c r="C313" t="s">
        <v>11</v>
      </c>
      <c r="D313">
        <v>10176.11</v>
      </c>
      <c r="E313">
        <v>5</v>
      </c>
      <c r="F313">
        <v>50880.55</v>
      </c>
      <c r="G313" s="1">
        <v>45521</v>
      </c>
      <c r="H313" t="s">
        <v>56</v>
      </c>
      <c r="I313">
        <v>2.1</v>
      </c>
    </row>
    <row r="314" spans="1:9" x14ac:dyDescent="0.3">
      <c r="A314" t="s">
        <v>357</v>
      </c>
      <c r="B314" t="s">
        <v>71</v>
      </c>
      <c r="C314" t="s">
        <v>22</v>
      </c>
      <c r="D314">
        <v>48177.16</v>
      </c>
      <c r="E314">
        <v>3</v>
      </c>
      <c r="F314">
        <v>144531.48000000001</v>
      </c>
      <c r="G314" s="1">
        <v>45356</v>
      </c>
      <c r="H314" t="s">
        <v>56</v>
      </c>
      <c r="I314">
        <v>1.7</v>
      </c>
    </row>
    <row r="315" spans="1:9" x14ac:dyDescent="0.3">
      <c r="A315" t="s">
        <v>358</v>
      </c>
      <c r="B315" t="s">
        <v>27</v>
      </c>
      <c r="C315" t="s">
        <v>25</v>
      </c>
      <c r="D315">
        <v>6119.31</v>
      </c>
      <c r="E315">
        <v>5</v>
      </c>
      <c r="F315">
        <v>30596.55</v>
      </c>
      <c r="G315" s="1">
        <v>45358</v>
      </c>
      <c r="H315" t="s">
        <v>56</v>
      </c>
      <c r="I315">
        <v>1.5</v>
      </c>
    </row>
    <row r="316" spans="1:9" x14ac:dyDescent="0.3">
      <c r="A316" t="s">
        <v>359</v>
      </c>
      <c r="B316" t="s">
        <v>75</v>
      </c>
      <c r="C316" t="s">
        <v>19</v>
      </c>
      <c r="D316">
        <v>6015.13</v>
      </c>
      <c r="E316">
        <v>1</v>
      </c>
      <c r="F316">
        <v>6015.13</v>
      </c>
      <c r="G316" s="1">
        <v>45530</v>
      </c>
      <c r="H316" t="s">
        <v>47</v>
      </c>
      <c r="I316">
        <v>1.9</v>
      </c>
    </row>
    <row r="317" spans="1:9" x14ac:dyDescent="0.3">
      <c r="A317" t="s">
        <v>360</v>
      </c>
      <c r="B317" t="s">
        <v>54</v>
      </c>
      <c r="C317" t="s">
        <v>15</v>
      </c>
      <c r="D317">
        <v>41198.839999999997</v>
      </c>
      <c r="E317">
        <v>4</v>
      </c>
      <c r="F317">
        <v>164795.35999999999</v>
      </c>
      <c r="G317" s="1">
        <v>45390</v>
      </c>
      <c r="H317" t="s">
        <v>47</v>
      </c>
      <c r="I317">
        <v>3</v>
      </c>
    </row>
    <row r="318" spans="1:9" x14ac:dyDescent="0.3">
      <c r="A318" t="s">
        <v>361</v>
      </c>
      <c r="B318" t="s">
        <v>50</v>
      </c>
      <c r="C318" t="s">
        <v>11</v>
      </c>
      <c r="D318">
        <v>11527.7</v>
      </c>
      <c r="E318">
        <v>3</v>
      </c>
      <c r="F318">
        <v>34583.1</v>
      </c>
      <c r="G318" s="1">
        <v>45626</v>
      </c>
      <c r="H318" t="s">
        <v>56</v>
      </c>
      <c r="I318">
        <v>1.8</v>
      </c>
    </row>
    <row r="319" spans="1:9" x14ac:dyDescent="0.3">
      <c r="A319" t="s">
        <v>362</v>
      </c>
      <c r="B319" t="s">
        <v>21</v>
      </c>
      <c r="C319" t="s">
        <v>22</v>
      </c>
      <c r="D319">
        <v>27749.19</v>
      </c>
      <c r="E319">
        <v>4</v>
      </c>
      <c r="F319">
        <v>110996.76</v>
      </c>
      <c r="G319" s="1">
        <v>45679</v>
      </c>
      <c r="H319" t="s">
        <v>28</v>
      </c>
      <c r="I319">
        <v>2.5</v>
      </c>
    </row>
    <row r="320" spans="1:9" x14ac:dyDescent="0.3">
      <c r="A320" t="s">
        <v>363</v>
      </c>
      <c r="B320" t="s">
        <v>44</v>
      </c>
      <c r="C320" t="s">
        <v>22</v>
      </c>
      <c r="D320">
        <v>14014.82</v>
      </c>
      <c r="E320">
        <v>1</v>
      </c>
      <c r="F320">
        <v>14014.82</v>
      </c>
      <c r="G320" s="1">
        <v>45619</v>
      </c>
      <c r="H320" t="s">
        <v>47</v>
      </c>
      <c r="I320">
        <v>4.5999999999999996</v>
      </c>
    </row>
    <row r="321" spans="1:9" x14ac:dyDescent="0.3">
      <c r="A321" t="s">
        <v>364</v>
      </c>
      <c r="B321" t="s">
        <v>44</v>
      </c>
      <c r="C321" t="s">
        <v>22</v>
      </c>
      <c r="D321">
        <v>23293.14</v>
      </c>
      <c r="E321">
        <v>2</v>
      </c>
      <c r="F321">
        <v>46586.28</v>
      </c>
      <c r="G321" s="1">
        <v>45451</v>
      </c>
      <c r="H321" t="s">
        <v>16</v>
      </c>
      <c r="I321">
        <v>4.0999999999999996</v>
      </c>
    </row>
    <row r="322" spans="1:9" x14ac:dyDescent="0.3">
      <c r="A322" t="s">
        <v>365</v>
      </c>
      <c r="B322" t="s">
        <v>30</v>
      </c>
      <c r="C322" t="s">
        <v>15</v>
      </c>
      <c r="D322">
        <v>38592.49</v>
      </c>
      <c r="E322">
        <v>5</v>
      </c>
      <c r="F322">
        <v>192962.45</v>
      </c>
      <c r="G322" s="1">
        <v>45578</v>
      </c>
      <c r="H322" t="s">
        <v>28</v>
      </c>
      <c r="I322">
        <v>3.2</v>
      </c>
    </row>
    <row r="323" spans="1:9" x14ac:dyDescent="0.3">
      <c r="A323" t="s">
        <v>366</v>
      </c>
      <c r="B323" t="s">
        <v>44</v>
      </c>
      <c r="C323" t="s">
        <v>22</v>
      </c>
      <c r="D323">
        <v>39898.86</v>
      </c>
      <c r="E323">
        <v>1</v>
      </c>
      <c r="F323">
        <v>39898.86</v>
      </c>
      <c r="G323" s="1">
        <v>45446</v>
      </c>
      <c r="H323" t="s">
        <v>28</v>
      </c>
      <c r="I323">
        <v>1.8</v>
      </c>
    </row>
    <row r="324" spans="1:9" x14ac:dyDescent="0.3">
      <c r="A324" t="s">
        <v>367</v>
      </c>
      <c r="B324" t="s">
        <v>10</v>
      </c>
      <c r="C324" t="s">
        <v>11</v>
      </c>
      <c r="D324">
        <v>39842.5</v>
      </c>
      <c r="E324">
        <v>2</v>
      </c>
      <c r="F324">
        <v>79685</v>
      </c>
      <c r="G324" s="1">
        <v>45575</v>
      </c>
      <c r="H324" t="s">
        <v>12</v>
      </c>
      <c r="I324">
        <v>4.4000000000000004</v>
      </c>
    </row>
    <row r="325" spans="1:9" x14ac:dyDescent="0.3">
      <c r="A325" t="s">
        <v>368</v>
      </c>
      <c r="B325" t="s">
        <v>93</v>
      </c>
      <c r="C325" t="s">
        <v>11</v>
      </c>
      <c r="D325">
        <v>30395.25</v>
      </c>
      <c r="E325">
        <v>1</v>
      </c>
      <c r="F325">
        <v>30395.25</v>
      </c>
      <c r="G325" s="1">
        <v>45389</v>
      </c>
      <c r="H325" t="s">
        <v>42</v>
      </c>
      <c r="I325">
        <v>1.1000000000000001</v>
      </c>
    </row>
    <row r="326" spans="1:9" x14ac:dyDescent="0.3">
      <c r="A326" t="s">
        <v>369</v>
      </c>
      <c r="B326" t="s">
        <v>18</v>
      </c>
      <c r="C326" t="s">
        <v>19</v>
      </c>
      <c r="D326">
        <v>36560.32</v>
      </c>
      <c r="E326">
        <v>5</v>
      </c>
      <c r="F326">
        <v>182801.6</v>
      </c>
      <c r="G326" s="1">
        <v>45658</v>
      </c>
      <c r="H326" t="s">
        <v>56</v>
      </c>
      <c r="I326">
        <v>2.5</v>
      </c>
    </row>
    <row r="327" spans="1:9" x14ac:dyDescent="0.3">
      <c r="A327" t="s">
        <v>370</v>
      </c>
      <c r="B327" t="s">
        <v>24</v>
      </c>
      <c r="C327" t="s">
        <v>25</v>
      </c>
      <c r="D327">
        <v>44248.09</v>
      </c>
      <c r="E327">
        <v>1</v>
      </c>
      <c r="F327">
        <v>44248.09</v>
      </c>
      <c r="G327" s="1">
        <v>45341</v>
      </c>
      <c r="H327" t="s">
        <v>56</v>
      </c>
      <c r="I327">
        <v>3.1</v>
      </c>
    </row>
    <row r="328" spans="1:9" x14ac:dyDescent="0.3">
      <c r="A328" t="s">
        <v>371</v>
      </c>
      <c r="B328" t="s">
        <v>36</v>
      </c>
      <c r="C328" t="s">
        <v>22</v>
      </c>
      <c r="D328">
        <v>18386.259999999998</v>
      </c>
      <c r="E328">
        <v>1</v>
      </c>
      <c r="F328">
        <v>18386.259999999998</v>
      </c>
      <c r="G328" s="1">
        <v>45571</v>
      </c>
      <c r="H328" t="s">
        <v>47</v>
      </c>
      <c r="I328">
        <v>1.4</v>
      </c>
    </row>
    <row r="329" spans="1:9" x14ac:dyDescent="0.3">
      <c r="A329" t="s">
        <v>372</v>
      </c>
      <c r="B329" t="s">
        <v>34</v>
      </c>
      <c r="C329" t="s">
        <v>15</v>
      </c>
      <c r="D329">
        <v>33683.4</v>
      </c>
      <c r="E329">
        <v>1</v>
      </c>
      <c r="F329">
        <v>33683.4</v>
      </c>
      <c r="G329" s="1">
        <v>45665</v>
      </c>
      <c r="H329" t="s">
        <v>12</v>
      </c>
      <c r="I329">
        <v>3.8</v>
      </c>
    </row>
    <row r="330" spans="1:9" x14ac:dyDescent="0.3">
      <c r="A330" t="s">
        <v>373</v>
      </c>
      <c r="B330" t="s">
        <v>69</v>
      </c>
      <c r="C330" t="s">
        <v>19</v>
      </c>
      <c r="D330">
        <v>49561.57</v>
      </c>
      <c r="E330">
        <v>3</v>
      </c>
      <c r="F330">
        <v>148684.71</v>
      </c>
      <c r="G330" s="1">
        <v>45385</v>
      </c>
      <c r="H330" t="s">
        <v>56</v>
      </c>
      <c r="I330">
        <v>3.5</v>
      </c>
    </row>
    <row r="331" spans="1:9" x14ac:dyDescent="0.3">
      <c r="A331" t="s">
        <v>374</v>
      </c>
      <c r="B331" t="s">
        <v>18</v>
      </c>
      <c r="C331" t="s">
        <v>19</v>
      </c>
      <c r="D331">
        <v>18551.650000000001</v>
      </c>
      <c r="E331">
        <v>2</v>
      </c>
      <c r="F331">
        <v>37103.300000000003</v>
      </c>
      <c r="G331" s="1">
        <v>45381</v>
      </c>
      <c r="H331" t="s">
        <v>47</v>
      </c>
      <c r="I331">
        <v>2.6</v>
      </c>
    </row>
    <row r="332" spans="1:9" x14ac:dyDescent="0.3">
      <c r="A332" t="s">
        <v>375</v>
      </c>
      <c r="B332" t="s">
        <v>82</v>
      </c>
      <c r="C332" t="s">
        <v>22</v>
      </c>
      <c r="D332">
        <v>12249.35</v>
      </c>
      <c r="E332">
        <v>5</v>
      </c>
      <c r="F332">
        <v>61246.75</v>
      </c>
      <c r="G332" s="1">
        <v>45686</v>
      </c>
      <c r="H332" t="s">
        <v>28</v>
      </c>
      <c r="I332">
        <v>2.9</v>
      </c>
    </row>
    <row r="333" spans="1:9" x14ac:dyDescent="0.3">
      <c r="A333" t="s">
        <v>376</v>
      </c>
      <c r="B333" t="s">
        <v>14</v>
      </c>
      <c r="C333" t="s">
        <v>15</v>
      </c>
      <c r="D333">
        <v>35305.39</v>
      </c>
      <c r="E333">
        <v>1</v>
      </c>
      <c r="F333">
        <v>35305.39</v>
      </c>
      <c r="G333" s="1">
        <v>45453</v>
      </c>
      <c r="H333" t="s">
        <v>16</v>
      </c>
      <c r="I333">
        <v>2.2000000000000002</v>
      </c>
    </row>
    <row r="334" spans="1:9" x14ac:dyDescent="0.3">
      <c r="A334" t="s">
        <v>377</v>
      </c>
      <c r="B334" t="s">
        <v>21</v>
      </c>
      <c r="C334" t="s">
        <v>22</v>
      </c>
      <c r="D334">
        <v>16790.46</v>
      </c>
      <c r="E334">
        <v>5</v>
      </c>
      <c r="F334">
        <v>83952.3</v>
      </c>
      <c r="G334" s="1">
        <v>45531</v>
      </c>
      <c r="H334" t="s">
        <v>56</v>
      </c>
      <c r="I334">
        <v>4.3</v>
      </c>
    </row>
    <row r="335" spans="1:9" x14ac:dyDescent="0.3">
      <c r="A335" t="s">
        <v>378</v>
      </c>
      <c r="B335" t="s">
        <v>34</v>
      </c>
      <c r="C335" t="s">
        <v>15</v>
      </c>
      <c r="D335">
        <v>26096.959999999999</v>
      </c>
      <c r="E335">
        <v>4</v>
      </c>
      <c r="F335">
        <v>104387.84</v>
      </c>
      <c r="G335" s="1">
        <v>45379</v>
      </c>
      <c r="H335" t="s">
        <v>12</v>
      </c>
      <c r="I335">
        <v>3.5</v>
      </c>
    </row>
    <row r="336" spans="1:9" x14ac:dyDescent="0.3">
      <c r="A336" t="s">
        <v>379</v>
      </c>
      <c r="B336" t="s">
        <v>100</v>
      </c>
      <c r="C336" t="s">
        <v>11</v>
      </c>
      <c r="D336">
        <v>34361.96</v>
      </c>
      <c r="E336">
        <v>5</v>
      </c>
      <c r="F336">
        <v>171809.8</v>
      </c>
      <c r="G336" s="1">
        <v>45373</v>
      </c>
      <c r="H336" t="s">
        <v>56</v>
      </c>
      <c r="I336">
        <v>4.4000000000000004</v>
      </c>
    </row>
    <row r="337" spans="1:9" x14ac:dyDescent="0.3">
      <c r="A337" t="s">
        <v>380</v>
      </c>
      <c r="B337" t="s">
        <v>32</v>
      </c>
      <c r="C337" t="s">
        <v>25</v>
      </c>
      <c r="D337">
        <v>46079.49</v>
      </c>
      <c r="E337">
        <v>5</v>
      </c>
      <c r="F337">
        <v>230397.45</v>
      </c>
      <c r="G337" s="1">
        <v>45350</v>
      </c>
      <c r="H337" t="s">
        <v>56</v>
      </c>
      <c r="I337">
        <v>3.7</v>
      </c>
    </row>
    <row r="338" spans="1:9" x14ac:dyDescent="0.3">
      <c r="A338" t="s">
        <v>381</v>
      </c>
      <c r="B338" t="s">
        <v>27</v>
      </c>
      <c r="C338" t="s">
        <v>25</v>
      </c>
      <c r="D338">
        <v>47053.440000000002</v>
      </c>
      <c r="E338">
        <v>2</v>
      </c>
      <c r="F338">
        <v>94106.880000000005</v>
      </c>
      <c r="G338" s="1">
        <v>45448</v>
      </c>
      <c r="H338" t="s">
        <v>42</v>
      </c>
      <c r="I338">
        <v>3</v>
      </c>
    </row>
    <row r="339" spans="1:9" x14ac:dyDescent="0.3">
      <c r="A339" t="s">
        <v>382</v>
      </c>
      <c r="B339" t="s">
        <v>36</v>
      </c>
      <c r="C339" t="s">
        <v>22</v>
      </c>
      <c r="D339">
        <v>18905.939999999999</v>
      </c>
      <c r="E339">
        <v>3</v>
      </c>
      <c r="F339">
        <v>56717.82</v>
      </c>
      <c r="G339" s="1">
        <v>45518</v>
      </c>
      <c r="H339" t="s">
        <v>16</v>
      </c>
      <c r="I339">
        <v>4.5</v>
      </c>
    </row>
    <row r="340" spans="1:9" x14ac:dyDescent="0.3">
      <c r="A340" t="s">
        <v>383</v>
      </c>
      <c r="B340" t="s">
        <v>69</v>
      </c>
      <c r="C340" t="s">
        <v>19</v>
      </c>
      <c r="D340">
        <v>30977.18</v>
      </c>
      <c r="E340">
        <v>3</v>
      </c>
      <c r="F340">
        <v>92931.54</v>
      </c>
      <c r="G340" s="1">
        <v>45604</v>
      </c>
      <c r="H340" t="s">
        <v>16</v>
      </c>
      <c r="I340">
        <v>3.3</v>
      </c>
    </row>
    <row r="341" spans="1:9" x14ac:dyDescent="0.3">
      <c r="A341" t="s">
        <v>384</v>
      </c>
      <c r="B341" t="s">
        <v>32</v>
      </c>
      <c r="C341" t="s">
        <v>25</v>
      </c>
      <c r="D341">
        <v>41841.57</v>
      </c>
      <c r="E341">
        <v>2</v>
      </c>
      <c r="F341">
        <v>83683.14</v>
      </c>
      <c r="G341" s="1">
        <v>45439</v>
      </c>
      <c r="H341" t="s">
        <v>42</v>
      </c>
      <c r="I341">
        <v>1.1000000000000001</v>
      </c>
    </row>
    <row r="342" spans="1:9" x14ac:dyDescent="0.3">
      <c r="A342" t="s">
        <v>385</v>
      </c>
      <c r="B342" t="s">
        <v>71</v>
      </c>
      <c r="C342" t="s">
        <v>22</v>
      </c>
      <c r="D342">
        <v>4277.1499999999996</v>
      </c>
      <c r="E342">
        <v>4</v>
      </c>
      <c r="F342">
        <v>17108.599999999999</v>
      </c>
      <c r="G342" s="1">
        <v>45516</v>
      </c>
      <c r="H342" t="s">
        <v>42</v>
      </c>
      <c r="I342">
        <v>2.1</v>
      </c>
    </row>
    <row r="343" spans="1:9" x14ac:dyDescent="0.3">
      <c r="A343" t="s">
        <v>386</v>
      </c>
      <c r="B343" t="s">
        <v>120</v>
      </c>
      <c r="C343" t="s">
        <v>25</v>
      </c>
      <c r="D343">
        <v>15648.85</v>
      </c>
      <c r="E343">
        <v>2</v>
      </c>
      <c r="F343">
        <v>31297.7</v>
      </c>
      <c r="G343" s="1">
        <v>45691</v>
      </c>
      <c r="H343" t="s">
        <v>47</v>
      </c>
      <c r="I343">
        <v>4.4000000000000004</v>
      </c>
    </row>
    <row r="344" spans="1:9" x14ac:dyDescent="0.3">
      <c r="A344" t="s">
        <v>387</v>
      </c>
      <c r="B344" t="s">
        <v>82</v>
      </c>
      <c r="C344" t="s">
        <v>22</v>
      </c>
      <c r="D344">
        <v>26992.720000000001</v>
      </c>
      <c r="E344">
        <v>3</v>
      </c>
      <c r="F344">
        <v>80978.16</v>
      </c>
      <c r="G344" s="1">
        <v>45337</v>
      </c>
      <c r="H344" t="s">
        <v>28</v>
      </c>
      <c r="I344">
        <v>1.1000000000000001</v>
      </c>
    </row>
    <row r="345" spans="1:9" x14ac:dyDescent="0.3">
      <c r="A345" t="s">
        <v>388</v>
      </c>
      <c r="B345" t="s">
        <v>82</v>
      </c>
      <c r="C345" t="s">
        <v>22</v>
      </c>
      <c r="D345">
        <v>49586.31</v>
      </c>
      <c r="E345">
        <v>4</v>
      </c>
      <c r="F345">
        <v>198345.24</v>
      </c>
      <c r="G345" s="1">
        <v>45415</v>
      </c>
      <c r="H345" t="s">
        <v>16</v>
      </c>
      <c r="I345">
        <v>4.3</v>
      </c>
    </row>
    <row r="346" spans="1:9" x14ac:dyDescent="0.3">
      <c r="A346" t="s">
        <v>389</v>
      </c>
      <c r="B346" t="s">
        <v>36</v>
      </c>
      <c r="C346" t="s">
        <v>22</v>
      </c>
      <c r="D346">
        <v>37181.040000000001</v>
      </c>
      <c r="E346">
        <v>1</v>
      </c>
      <c r="F346">
        <v>37181.040000000001</v>
      </c>
      <c r="G346" s="1">
        <v>45372</v>
      </c>
      <c r="H346" t="s">
        <v>28</v>
      </c>
      <c r="I346">
        <v>1.2</v>
      </c>
    </row>
    <row r="347" spans="1:9" x14ac:dyDescent="0.3">
      <c r="A347" t="s">
        <v>390</v>
      </c>
      <c r="B347" t="s">
        <v>30</v>
      </c>
      <c r="C347" t="s">
        <v>15</v>
      </c>
      <c r="D347">
        <v>46090.65</v>
      </c>
      <c r="E347">
        <v>4</v>
      </c>
      <c r="F347">
        <v>184362.6</v>
      </c>
      <c r="G347" s="1">
        <v>45682</v>
      </c>
      <c r="H347" t="s">
        <v>16</v>
      </c>
      <c r="I347">
        <v>3.3</v>
      </c>
    </row>
    <row r="348" spans="1:9" x14ac:dyDescent="0.3">
      <c r="A348" t="s">
        <v>391</v>
      </c>
      <c r="B348" t="s">
        <v>10</v>
      </c>
      <c r="C348" t="s">
        <v>11</v>
      </c>
      <c r="D348">
        <v>48151.09</v>
      </c>
      <c r="E348">
        <v>4</v>
      </c>
      <c r="F348">
        <v>192604.36</v>
      </c>
      <c r="G348" s="1">
        <v>45496</v>
      </c>
      <c r="H348" t="s">
        <v>16</v>
      </c>
      <c r="I348">
        <v>2.9</v>
      </c>
    </row>
    <row r="349" spans="1:9" x14ac:dyDescent="0.3">
      <c r="A349" t="s">
        <v>392</v>
      </c>
      <c r="B349" t="s">
        <v>21</v>
      </c>
      <c r="C349" t="s">
        <v>22</v>
      </c>
      <c r="D349">
        <v>8197.4699999999993</v>
      </c>
      <c r="E349">
        <v>2</v>
      </c>
      <c r="F349">
        <v>16394.939999999999</v>
      </c>
      <c r="G349" s="1">
        <v>45563</v>
      </c>
      <c r="H349" t="s">
        <v>28</v>
      </c>
      <c r="I349">
        <v>3</v>
      </c>
    </row>
    <row r="350" spans="1:9" x14ac:dyDescent="0.3">
      <c r="A350" t="s">
        <v>393</v>
      </c>
      <c r="B350" t="s">
        <v>24</v>
      </c>
      <c r="C350" t="s">
        <v>25</v>
      </c>
      <c r="D350">
        <v>40679.29</v>
      </c>
      <c r="E350">
        <v>2</v>
      </c>
      <c r="F350">
        <v>81358.58</v>
      </c>
      <c r="G350" s="1">
        <v>45486</v>
      </c>
      <c r="H350" t="s">
        <v>28</v>
      </c>
      <c r="I350">
        <v>1.5</v>
      </c>
    </row>
    <row r="351" spans="1:9" x14ac:dyDescent="0.3">
      <c r="A351" t="s">
        <v>394</v>
      </c>
      <c r="B351" t="s">
        <v>38</v>
      </c>
      <c r="C351" t="s">
        <v>19</v>
      </c>
      <c r="D351">
        <v>45012.71</v>
      </c>
      <c r="E351">
        <v>3</v>
      </c>
      <c r="F351">
        <v>135038.13</v>
      </c>
      <c r="G351" s="1">
        <v>45580</v>
      </c>
      <c r="H351" t="s">
        <v>16</v>
      </c>
      <c r="I351">
        <v>4.9000000000000004</v>
      </c>
    </row>
    <row r="352" spans="1:9" x14ac:dyDescent="0.3">
      <c r="A352" t="s">
        <v>395</v>
      </c>
      <c r="B352" t="s">
        <v>38</v>
      </c>
      <c r="C352" t="s">
        <v>19</v>
      </c>
      <c r="D352">
        <v>5127.0200000000004</v>
      </c>
      <c r="E352">
        <v>3</v>
      </c>
      <c r="F352">
        <v>15381.06</v>
      </c>
      <c r="G352" s="1">
        <v>45695</v>
      </c>
      <c r="H352" t="s">
        <v>12</v>
      </c>
      <c r="I352">
        <v>4.5</v>
      </c>
    </row>
    <row r="353" spans="1:9" x14ac:dyDescent="0.3">
      <c r="A353" t="s">
        <v>396</v>
      </c>
      <c r="B353" t="s">
        <v>71</v>
      </c>
      <c r="C353" t="s">
        <v>22</v>
      </c>
      <c r="D353">
        <v>13954.48</v>
      </c>
      <c r="E353">
        <v>3</v>
      </c>
      <c r="F353">
        <v>41863.440000000002</v>
      </c>
      <c r="G353" s="1">
        <v>45669</v>
      </c>
      <c r="H353" t="s">
        <v>16</v>
      </c>
      <c r="I353">
        <v>1.5</v>
      </c>
    </row>
    <row r="354" spans="1:9" x14ac:dyDescent="0.3">
      <c r="A354" t="s">
        <v>397</v>
      </c>
      <c r="B354" t="s">
        <v>54</v>
      </c>
      <c r="C354" t="s">
        <v>15</v>
      </c>
      <c r="D354">
        <v>26166.89</v>
      </c>
      <c r="E354">
        <v>4</v>
      </c>
      <c r="F354">
        <v>104667.56</v>
      </c>
      <c r="G354" s="1">
        <v>45541</v>
      </c>
      <c r="H354" t="s">
        <v>47</v>
      </c>
      <c r="I354">
        <v>3.7</v>
      </c>
    </row>
    <row r="355" spans="1:9" x14ac:dyDescent="0.3">
      <c r="A355" t="s">
        <v>398</v>
      </c>
      <c r="B355" t="s">
        <v>69</v>
      </c>
      <c r="C355" t="s">
        <v>19</v>
      </c>
      <c r="D355">
        <v>45072.69</v>
      </c>
      <c r="E355">
        <v>2</v>
      </c>
      <c r="F355">
        <v>90145.38</v>
      </c>
      <c r="G355" s="1">
        <v>45656</v>
      </c>
      <c r="H355" t="s">
        <v>28</v>
      </c>
      <c r="I355">
        <v>2.6</v>
      </c>
    </row>
    <row r="356" spans="1:9" x14ac:dyDescent="0.3">
      <c r="A356" t="s">
        <v>399</v>
      </c>
      <c r="B356" t="s">
        <v>54</v>
      </c>
      <c r="C356" t="s">
        <v>15</v>
      </c>
      <c r="D356">
        <v>33543.19</v>
      </c>
      <c r="E356">
        <v>2</v>
      </c>
      <c r="F356">
        <v>67086.38</v>
      </c>
      <c r="G356" s="1">
        <v>45360</v>
      </c>
      <c r="H356" t="s">
        <v>16</v>
      </c>
      <c r="I356">
        <v>3.7</v>
      </c>
    </row>
    <row r="357" spans="1:9" x14ac:dyDescent="0.3">
      <c r="A357" t="s">
        <v>400</v>
      </c>
      <c r="B357" t="s">
        <v>100</v>
      </c>
      <c r="C357" t="s">
        <v>11</v>
      </c>
      <c r="D357">
        <v>34116.230000000003</v>
      </c>
      <c r="E357">
        <v>3</v>
      </c>
      <c r="F357">
        <v>102348.69</v>
      </c>
      <c r="G357" s="1">
        <v>45371</v>
      </c>
      <c r="H357" t="s">
        <v>28</v>
      </c>
      <c r="I357">
        <v>1.4</v>
      </c>
    </row>
    <row r="358" spans="1:9" x14ac:dyDescent="0.3">
      <c r="A358" t="s">
        <v>401</v>
      </c>
      <c r="B358" t="s">
        <v>100</v>
      </c>
      <c r="C358" t="s">
        <v>11</v>
      </c>
      <c r="D358">
        <v>15466.4</v>
      </c>
      <c r="E358">
        <v>5</v>
      </c>
      <c r="F358">
        <v>77332</v>
      </c>
      <c r="G358" s="1">
        <v>45502</v>
      </c>
      <c r="H358" t="s">
        <v>28</v>
      </c>
      <c r="I358">
        <v>2.9</v>
      </c>
    </row>
    <row r="359" spans="1:9" x14ac:dyDescent="0.3">
      <c r="A359" t="s">
        <v>402</v>
      </c>
      <c r="B359" t="s">
        <v>71</v>
      </c>
      <c r="C359" t="s">
        <v>22</v>
      </c>
      <c r="D359">
        <v>19879.400000000001</v>
      </c>
      <c r="E359">
        <v>4</v>
      </c>
      <c r="F359">
        <v>79517.600000000006</v>
      </c>
      <c r="G359" s="1">
        <v>45366</v>
      </c>
      <c r="H359" t="s">
        <v>12</v>
      </c>
      <c r="I359">
        <v>3.2</v>
      </c>
    </row>
    <row r="360" spans="1:9" x14ac:dyDescent="0.3">
      <c r="A360" t="s">
        <v>403</v>
      </c>
      <c r="B360" t="s">
        <v>120</v>
      </c>
      <c r="C360" t="s">
        <v>25</v>
      </c>
      <c r="D360">
        <v>11914.15</v>
      </c>
      <c r="E360">
        <v>2</v>
      </c>
      <c r="F360">
        <v>23828.3</v>
      </c>
      <c r="G360" s="1">
        <v>45453</v>
      </c>
      <c r="H360" t="s">
        <v>28</v>
      </c>
      <c r="I360">
        <v>2.4</v>
      </c>
    </row>
    <row r="361" spans="1:9" x14ac:dyDescent="0.3">
      <c r="A361" t="s">
        <v>404</v>
      </c>
      <c r="B361" t="s">
        <v>151</v>
      </c>
      <c r="C361" t="s">
        <v>15</v>
      </c>
      <c r="D361">
        <v>7936.32</v>
      </c>
      <c r="E361">
        <v>4</v>
      </c>
      <c r="F361">
        <v>31745.279999999999</v>
      </c>
      <c r="G361" s="1">
        <v>45556</v>
      </c>
      <c r="H361" t="s">
        <v>47</v>
      </c>
      <c r="I361">
        <v>1.5</v>
      </c>
    </row>
    <row r="362" spans="1:9" x14ac:dyDescent="0.3">
      <c r="A362" t="s">
        <v>405</v>
      </c>
      <c r="B362" t="s">
        <v>10</v>
      </c>
      <c r="C362" t="s">
        <v>11</v>
      </c>
      <c r="D362">
        <v>7633.85</v>
      </c>
      <c r="E362">
        <v>2</v>
      </c>
      <c r="F362">
        <v>15267.7</v>
      </c>
      <c r="G362" s="1">
        <v>45536</v>
      </c>
      <c r="H362" t="s">
        <v>56</v>
      </c>
      <c r="I362">
        <v>3.8</v>
      </c>
    </row>
    <row r="363" spans="1:9" x14ac:dyDescent="0.3">
      <c r="A363" t="s">
        <v>406</v>
      </c>
      <c r="B363" t="s">
        <v>18</v>
      </c>
      <c r="C363" t="s">
        <v>19</v>
      </c>
      <c r="D363">
        <v>2470.8200000000002</v>
      </c>
      <c r="E363">
        <v>4</v>
      </c>
      <c r="F363">
        <v>9883.2800000000007</v>
      </c>
      <c r="G363" s="1">
        <v>45438</v>
      </c>
      <c r="H363" t="s">
        <v>16</v>
      </c>
      <c r="I363">
        <v>2</v>
      </c>
    </row>
    <row r="364" spans="1:9" x14ac:dyDescent="0.3">
      <c r="A364" t="s">
        <v>407</v>
      </c>
      <c r="B364" t="s">
        <v>120</v>
      </c>
      <c r="C364" t="s">
        <v>25</v>
      </c>
      <c r="D364">
        <v>908.47</v>
      </c>
      <c r="E364">
        <v>3</v>
      </c>
      <c r="F364">
        <v>2725.41</v>
      </c>
      <c r="G364" s="1">
        <v>45562</v>
      </c>
      <c r="H364" t="s">
        <v>42</v>
      </c>
      <c r="I364">
        <v>4.5999999999999996</v>
      </c>
    </row>
    <row r="365" spans="1:9" x14ac:dyDescent="0.3">
      <c r="A365" t="s">
        <v>408</v>
      </c>
      <c r="B365" t="s">
        <v>32</v>
      </c>
      <c r="C365" t="s">
        <v>25</v>
      </c>
      <c r="D365">
        <v>14102.56</v>
      </c>
      <c r="E365">
        <v>4</v>
      </c>
      <c r="F365">
        <v>56410.239999999998</v>
      </c>
      <c r="G365" s="1">
        <v>45555</v>
      </c>
      <c r="H365" t="s">
        <v>42</v>
      </c>
      <c r="I365">
        <v>2.9</v>
      </c>
    </row>
    <row r="366" spans="1:9" x14ac:dyDescent="0.3">
      <c r="A366" t="s">
        <v>409</v>
      </c>
      <c r="B366" t="s">
        <v>71</v>
      </c>
      <c r="C366" t="s">
        <v>22</v>
      </c>
      <c r="D366">
        <v>23287.93</v>
      </c>
      <c r="E366">
        <v>4</v>
      </c>
      <c r="F366">
        <v>93151.72</v>
      </c>
      <c r="G366" s="1">
        <v>45518</v>
      </c>
      <c r="H366" t="s">
        <v>12</v>
      </c>
      <c r="I366">
        <v>2</v>
      </c>
    </row>
    <row r="367" spans="1:9" x14ac:dyDescent="0.3">
      <c r="A367" t="s">
        <v>410</v>
      </c>
      <c r="B367" t="s">
        <v>27</v>
      </c>
      <c r="C367" t="s">
        <v>25</v>
      </c>
      <c r="D367">
        <v>41333.21</v>
      </c>
      <c r="E367">
        <v>1</v>
      </c>
      <c r="F367">
        <v>41333.21</v>
      </c>
      <c r="G367" s="1">
        <v>45685</v>
      </c>
      <c r="H367" t="s">
        <v>56</v>
      </c>
      <c r="I367">
        <v>4</v>
      </c>
    </row>
    <row r="368" spans="1:9" x14ac:dyDescent="0.3">
      <c r="A368" t="s">
        <v>411</v>
      </c>
      <c r="B368" t="s">
        <v>10</v>
      </c>
      <c r="C368" t="s">
        <v>11</v>
      </c>
      <c r="D368">
        <v>35304.99</v>
      </c>
      <c r="E368">
        <v>1</v>
      </c>
      <c r="F368">
        <v>35304.99</v>
      </c>
      <c r="G368" s="1">
        <v>45510</v>
      </c>
      <c r="H368" t="s">
        <v>42</v>
      </c>
      <c r="I368">
        <v>2</v>
      </c>
    </row>
    <row r="369" spans="1:9" x14ac:dyDescent="0.3">
      <c r="A369" t="s">
        <v>412</v>
      </c>
      <c r="B369" t="s">
        <v>14</v>
      </c>
      <c r="C369" t="s">
        <v>15</v>
      </c>
      <c r="D369">
        <v>22335.58</v>
      </c>
      <c r="E369">
        <v>2</v>
      </c>
      <c r="F369">
        <v>44671.16</v>
      </c>
      <c r="G369" s="1">
        <v>45504</v>
      </c>
      <c r="H369" t="s">
        <v>28</v>
      </c>
      <c r="I369">
        <v>3.8</v>
      </c>
    </row>
    <row r="370" spans="1:9" x14ac:dyDescent="0.3">
      <c r="A370" t="s">
        <v>413</v>
      </c>
      <c r="B370" t="s">
        <v>24</v>
      </c>
      <c r="C370" t="s">
        <v>25</v>
      </c>
      <c r="D370">
        <v>40486.080000000002</v>
      </c>
      <c r="E370">
        <v>5</v>
      </c>
      <c r="F370">
        <v>202430.4</v>
      </c>
      <c r="G370" s="1">
        <v>45622</v>
      </c>
      <c r="H370" t="s">
        <v>28</v>
      </c>
      <c r="I370">
        <v>3.6</v>
      </c>
    </row>
    <row r="371" spans="1:9" x14ac:dyDescent="0.3">
      <c r="A371" t="s">
        <v>414</v>
      </c>
      <c r="B371" t="s">
        <v>10</v>
      </c>
      <c r="C371" t="s">
        <v>11</v>
      </c>
      <c r="D371">
        <v>20353.400000000001</v>
      </c>
      <c r="E371">
        <v>1</v>
      </c>
      <c r="F371">
        <v>20353.400000000001</v>
      </c>
      <c r="G371" s="1">
        <v>45480</v>
      </c>
      <c r="H371" t="s">
        <v>16</v>
      </c>
      <c r="I371">
        <v>2.9</v>
      </c>
    </row>
    <row r="372" spans="1:9" x14ac:dyDescent="0.3">
      <c r="A372" t="s">
        <v>415</v>
      </c>
      <c r="B372" t="s">
        <v>71</v>
      </c>
      <c r="C372" t="s">
        <v>22</v>
      </c>
      <c r="D372">
        <v>2258.27</v>
      </c>
      <c r="E372">
        <v>3</v>
      </c>
      <c r="F372">
        <v>6774.81</v>
      </c>
      <c r="G372" s="1">
        <v>45589</v>
      </c>
      <c r="H372" t="s">
        <v>28</v>
      </c>
      <c r="I372">
        <v>4.8</v>
      </c>
    </row>
    <row r="373" spans="1:9" x14ac:dyDescent="0.3">
      <c r="A373" t="s">
        <v>416</v>
      </c>
      <c r="B373" t="s">
        <v>44</v>
      </c>
      <c r="C373" t="s">
        <v>22</v>
      </c>
      <c r="D373">
        <v>704.55</v>
      </c>
      <c r="E373">
        <v>5</v>
      </c>
      <c r="F373">
        <v>3522.75</v>
      </c>
      <c r="G373" s="1">
        <v>45440</v>
      </c>
      <c r="H373" t="s">
        <v>12</v>
      </c>
      <c r="I373">
        <v>4</v>
      </c>
    </row>
    <row r="374" spans="1:9" x14ac:dyDescent="0.3">
      <c r="A374" t="s">
        <v>417</v>
      </c>
      <c r="B374" t="s">
        <v>32</v>
      </c>
      <c r="C374" t="s">
        <v>25</v>
      </c>
      <c r="D374">
        <v>38629</v>
      </c>
      <c r="E374">
        <v>1</v>
      </c>
      <c r="F374">
        <v>38629</v>
      </c>
      <c r="G374" s="1">
        <v>45488</v>
      </c>
      <c r="H374" t="s">
        <v>56</v>
      </c>
      <c r="I374">
        <v>4</v>
      </c>
    </row>
    <row r="375" spans="1:9" x14ac:dyDescent="0.3">
      <c r="A375" t="s">
        <v>418</v>
      </c>
      <c r="B375" t="s">
        <v>93</v>
      </c>
      <c r="C375" t="s">
        <v>11</v>
      </c>
      <c r="D375">
        <v>37303.26</v>
      </c>
      <c r="E375">
        <v>4</v>
      </c>
      <c r="F375">
        <v>149213.04</v>
      </c>
      <c r="G375" s="1">
        <v>45664</v>
      </c>
      <c r="H375" t="s">
        <v>42</v>
      </c>
      <c r="I375">
        <v>2.9</v>
      </c>
    </row>
    <row r="376" spans="1:9" x14ac:dyDescent="0.3">
      <c r="A376" t="s">
        <v>419</v>
      </c>
      <c r="B376" t="s">
        <v>44</v>
      </c>
      <c r="C376" t="s">
        <v>22</v>
      </c>
      <c r="D376">
        <v>11507.22</v>
      </c>
      <c r="E376">
        <v>4</v>
      </c>
      <c r="F376">
        <v>46028.88</v>
      </c>
      <c r="G376" s="1">
        <v>45399</v>
      </c>
      <c r="H376" t="s">
        <v>12</v>
      </c>
      <c r="I376">
        <v>1.4</v>
      </c>
    </row>
    <row r="377" spans="1:9" x14ac:dyDescent="0.3">
      <c r="A377" t="s">
        <v>420</v>
      </c>
      <c r="B377" t="s">
        <v>32</v>
      </c>
      <c r="C377" t="s">
        <v>25</v>
      </c>
      <c r="D377">
        <v>48710.25</v>
      </c>
      <c r="E377">
        <v>1</v>
      </c>
      <c r="F377">
        <v>48710.25</v>
      </c>
      <c r="G377" s="1">
        <v>45571</v>
      </c>
      <c r="H377" t="s">
        <v>47</v>
      </c>
      <c r="I377">
        <v>1.7</v>
      </c>
    </row>
    <row r="378" spans="1:9" x14ac:dyDescent="0.3">
      <c r="A378" t="s">
        <v>421</v>
      </c>
      <c r="B378" t="s">
        <v>10</v>
      </c>
      <c r="C378" t="s">
        <v>11</v>
      </c>
      <c r="D378">
        <v>20075.810000000001</v>
      </c>
      <c r="E378">
        <v>1</v>
      </c>
      <c r="F378">
        <v>20075.810000000001</v>
      </c>
      <c r="G378" s="1">
        <v>45455</v>
      </c>
      <c r="H378" t="s">
        <v>12</v>
      </c>
      <c r="I378">
        <v>4.9000000000000004</v>
      </c>
    </row>
    <row r="379" spans="1:9" x14ac:dyDescent="0.3">
      <c r="A379" t="s">
        <v>422</v>
      </c>
      <c r="B379" t="s">
        <v>46</v>
      </c>
      <c r="C379" t="s">
        <v>11</v>
      </c>
      <c r="D379">
        <v>8448.77</v>
      </c>
      <c r="E379">
        <v>2</v>
      </c>
      <c r="F379">
        <v>16897.54</v>
      </c>
      <c r="G379" s="1">
        <v>45424</v>
      </c>
      <c r="H379" t="s">
        <v>16</v>
      </c>
      <c r="I379">
        <v>3.8</v>
      </c>
    </row>
    <row r="380" spans="1:9" x14ac:dyDescent="0.3">
      <c r="A380" t="s">
        <v>423</v>
      </c>
      <c r="B380" t="s">
        <v>30</v>
      </c>
      <c r="C380" t="s">
        <v>15</v>
      </c>
      <c r="D380">
        <v>29310.76</v>
      </c>
      <c r="E380">
        <v>4</v>
      </c>
      <c r="F380">
        <v>117243.04</v>
      </c>
      <c r="G380" s="1">
        <v>45476</v>
      </c>
      <c r="H380" t="s">
        <v>28</v>
      </c>
      <c r="I380">
        <v>4.4000000000000004</v>
      </c>
    </row>
    <row r="381" spans="1:9" x14ac:dyDescent="0.3">
      <c r="A381" t="s">
        <v>424</v>
      </c>
      <c r="B381" t="s">
        <v>10</v>
      </c>
      <c r="C381" t="s">
        <v>11</v>
      </c>
      <c r="D381">
        <v>708.78</v>
      </c>
      <c r="E381">
        <v>4</v>
      </c>
      <c r="F381">
        <v>2835.12</v>
      </c>
      <c r="G381" s="1">
        <v>45625</v>
      </c>
      <c r="H381" t="s">
        <v>42</v>
      </c>
      <c r="I381">
        <v>2</v>
      </c>
    </row>
    <row r="382" spans="1:9" x14ac:dyDescent="0.3">
      <c r="A382" t="s">
        <v>425</v>
      </c>
      <c r="B382" t="s">
        <v>34</v>
      </c>
      <c r="C382" t="s">
        <v>15</v>
      </c>
      <c r="D382">
        <v>24062.33</v>
      </c>
      <c r="E382">
        <v>4</v>
      </c>
      <c r="F382">
        <v>96249.32</v>
      </c>
      <c r="G382" s="1">
        <v>45676</v>
      </c>
      <c r="H382" t="s">
        <v>12</v>
      </c>
      <c r="I382">
        <v>1.1000000000000001</v>
      </c>
    </row>
    <row r="383" spans="1:9" x14ac:dyDescent="0.3">
      <c r="A383" t="s">
        <v>426</v>
      </c>
      <c r="B383" t="s">
        <v>30</v>
      </c>
      <c r="C383" t="s">
        <v>15</v>
      </c>
      <c r="D383">
        <v>27827.66</v>
      </c>
      <c r="E383">
        <v>1</v>
      </c>
      <c r="F383">
        <v>27827.66</v>
      </c>
      <c r="G383" s="1">
        <v>45461</v>
      </c>
      <c r="H383" t="s">
        <v>42</v>
      </c>
      <c r="I383">
        <v>4.5</v>
      </c>
    </row>
    <row r="384" spans="1:9" x14ac:dyDescent="0.3">
      <c r="A384" t="s">
        <v>427</v>
      </c>
      <c r="B384" t="s">
        <v>21</v>
      </c>
      <c r="C384" t="s">
        <v>22</v>
      </c>
      <c r="D384">
        <v>40862.870000000003</v>
      </c>
      <c r="E384">
        <v>2</v>
      </c>
      <c r="F384">
        <v>81725.740000000005</v>
      </c>
      <c r="G384" s="1">
        <v>45434</v>
      </c>
      <c r="H384" t="s">
        <v>12</v>
      </c>
      <c r="I384">
        <v>1.4</v>
      </c>
    </row>
    <row r="385" spans="1:9" x14ac:dyDescent="0.3">
      <c r="A385" t="s">
        <v>428</v>
      </c>
      <c r="B385" t="s">
        <v>30</v>
      </c>
      <c r="C385" t="s">
        <v>15</v>
      </c>
      <c r="D385">
        <v>11399.26</v>
      </c>
      <c r="E385">
        <v>2</v>
      </c>
      <c r="F385">
        <v>22798.52</v>
      </c>
      <c r="G385" s="1">
        <v>45339</v>
      </c>
      <c r="H385" t="s">
        <v>56</v>
      </c>
      <c r="I385">
        <v>1</v>
      </c>
    </row>
    <row r="386" spans="1:9" x14ac:dyDescent="0.3">
      <c r="A386" t="s">
        <v>429</v>
      </c>
      <c r="B386" t="s">
        <v>69</v>
      </c>
      <c r="C386" t="s">
        <v>19</v>
      </c>
      <c r="D386">
        <v>5463.13</v>
      </c>
      <c r="E386">
        <v>1</v>
      </c>
      <c r="F386">
        <v>5463.13</v>
      </c>
      <c r="G386" s="1">
        <v>45473</v>
      </c>
      <c r="H386" t="s">
        <v>12</v>
      </c>
      <c r="I386">
        <v>3.9</v>
      </c>
    </row>
    <row r="387" spans="1:9" x14ac:dyDescent="0.3">
      <c r="A387" t="s">
        <v>430</v>
      </c>
      <c r="B387" t="s">
        <v>46</v>
      </c>
      <c r="C387" t="s">
        <v>11</v>
      </c>
      <c r="D387">
        <v>8644.99</v>
      </c>
      <c r="E387">
        <v>5</v>
      </c>
      <c r="F387">
        <v>43224.95</v>
      </c>
      <c r="G387" s="1">
        <v>45490</v>
      </c>
      <c r="H387" t="s">
        <v>12</v>
      </c>
      <c r="I387">
        <v>4.3</v>
      </c>
    </row>
    <row r="388" spans="1:9" x14ac:dyDescent="0.3">
      <c r="A388" t="s">
        <v>431</v>
      </c>
      <c r="B388" t="s">
        <v>82</v>
      </c>
      <c r="C388" t="s">
        <v>22</v>
      </c>
      <c r="D388">
        <v>27481.15</v>
      </c>
      <c r="E388">
        <v>2</v>
      </c>
      <c r="F388">
        <v>54962.3</v>
      </c>
      <c r="G388" s="1">
        <v>45592</v>
      </c>
      <c r="H388" t="s">
        <v>42</v>
      </c>
      <c r="I388">
        <v>3.2</v>
      </c>
    </row>
    <row r="389" spans="1:9" x14ac:dyDescent="0.3">
      <c r="A389" t="s">
        <v>432</v>
      </c>
      <c r="B389" t="s">
        <v>100</v>
      </c>
      <c r="C389" t="s">
        <v>11</v>
      </c>
      <c r="D389">
        <v>47819.23</v>
      </c>
      <c r="E389">
        <v>4</v>
      </c>
      <c r="F389">
        <v>191276.92</v>
      </c>
      <c r="G389" s="1">
        <v>45446</v>
      </c>
      <c r="H389" t="s">
        <v>28</v>
      </c>
      <c r="I389">
        <v>1.1000000000000001</v>
      </c>
    </row>
    <row r="390" spans="1:9" x14ac:dyDescent="0.3">
      <c r="A390" t="s">
        <v>433</v>
      </c>
      <c r="B390" t="s">
        <v>40</v>
      </c>
      <c r="C390" t="s">
        <v>19</v>
      </c>
      <c r="D390">
        <v>7145.81</v>
      </c>
      <c r="E390">
        <v>4</v>
      </c>
      <c r="F390">
        <v>28583.24</v>
      </c>
      <c r="G390" s="1">
        <v>45360</v>
      </c>
      <c r="H390" t="s">
        <v>28</v>
      </c>
      <c r="I390">
        <v>1.9</v>
      </c>
    </row>
    <row r="391" spans="1:9" x14ac:dyDescent="0.3">
      <c r="A391" t="s">
        <v>434</v>
      </c>
      <c r="B391" t="s">
        <v>82</v>
      </c>
      <c r="C391" t="s">
        <v>22</v>
      </c>
      <c r="D391">
        <v>29847.4</v>
      </c>
      <c r="E391">
        <v>3</v>
      </c>
      <c r="F391">
        <v>89542.2</v>
      </c>
      <c r="G391" s="1">
        <v>45447</v>
      </c>
      <c r="H391" t="s">
        <v>12</v>
      </c>
      <c r="I391">
        <v>2.9</v>
      </c>
    </row>
    <row r="392" spans="1:9" x14ac:dyDescent="0.3">
      <c r="A392" t="s">
        <v>435</v>
      </c>
      <c r="B392" t="s">
        <v>40</v>
      </c>
      <c r="C392" t="s">
        <v>19</v>
      </c>
      <c r="D392">
        <v>11186.35</v>
      </c>
      <c r="E392">
        <v>2</v>
      </c>
      <c r="F392">
        <v>22372.7</v>
      </c>
      <c r="G392" s="1">
        <v>45593</v>
      </c>
      <c r="H392" t="s">
        <v>42</v>
      </c>
      <c r="I392">
        <v>1.1000000000000001</v>
      </c>
    </row>
    <row r="393" spans="1:9" x14ac:dyDescent="0.3">
      <c r="A393" t="s">
        <v>436</v>
      </c>
      <c r="B393" t="s">
        <v>10</v>
      </c>
      <c r="C393" t="s">
        <v>11</v>
      </c>
      <c r="D393">
        <v>36535.74</v>
      </c>
      <c r="E393">
        <v>3</v>
      </c>
      <c r="F393">
        <v>109607.22</v>
      </c>
      <c r="G393" s="1">
        <v>45475</v>
      </c>
      <c r="H393" t="s">
        <v>16</v>
      </c>
      <c r="I393">
        <v>1.2</v>
      </c>
    </row>
    <row r="394" spans="1:9" x14ac:dyDescent="0.3">
      <c r="A394" t="s">
        <v>437</v>
      </c>
      <c r="B394" t="s">
        <v>30</v>
      </c>
      <c r="C394" t="s">
        <v>15</v>
      </c>
      <c r="D394">
        <v>12046.9</v>
      </c>
      <c r="E394">
        <v>3</v>
      </c>
      <c r="F394">
        <v>36140.699999999997</v>
      </c>
      <c r="G394" s="1">
        <v>45662</v>
      </c>
      <c r="H394" t="s">
        <v>42</v>
      </c>
      <c r="I394">
        <v>3.2</v>
      </c>
    </row>
    <row r="395" spans="1:9" x14ac:dyDescent="0.3">
      <c r="A395" t="s">
        <v>438</v>
      </c>
      <c r="B395" t="s">
        <v>69</v>
      </c>
      <c r="C395" t="s">
        <v>19</v>
      </c>
      <c r="D395">
        <v>7043.51</v>
      </c>
      <c r="E395">
        <v>4</v>
      </c>
      <c r="F395">
        <v>28174.04</v>
      </c>
      <c r="G395" s="1">
        <v>45363</v>
      </c>
      <c r="H395" t="s">
        <v>16</v>
      </c>
      <c r="I395">
        <v>2.2999999999999998</v>
      </c>
    </row>
    <row r="396" spans="1:9" x14ac:dyDescent="0.3">
      <c r="A396" t="s">
        <v>439</v>
      </c>
      <c r="B396" t="s">
        <v>30</v>
      </c>
      <c r="C396" t="s">
        <v>15</v>
      </c>
      <c r="D396">
        <v>34369.57</v>
      </c>
      <c r="E396">
        <v>4</v>
      </c>
      <c r="F396">
        <v>137478.28</v>
      </c>
      <c r="G396" s="1">
        <v>45504</v>
      </c>
      <c r="H396" t="s">
        <v>56</v>
      </c>
      <c r="I396">
        <v>1.6</v>
      </c>
    </row>
    <row r="397" spans="1:9" x14ac:dyDescent="0.3">
      <c r="A397" t="s">
        <v>440</v>
      </c>
      <c r="B397" t="s">
        <v>30</v>
      </c>
      <c r="C397" t="s">
        <v>15</v>
      </c>
      <c r="D397">
        <v>4827.49</v>
      </c>
      <c r="E397">
        <v>3</v>
      </c>
      <c r="F397">
        <v>14482.47</v>
      </c>
      <c r="G397" s="1">
        <v>45361</v>
      </c>
      <c r="H397" t="s">
        <v>12</v>
      </c>
      <c r="I397">
        <v>4.2</v>
      </c>
    </row>
    <row r="398" spans="1:9" x14ac:dyDescent="0.3">
      <c r="A398" t="s">
        <v>441</v>
      </c>
      <c r="B398" t="s">
        <v>40</v>
      </c>
      <c r="C398" t="s">
        <v>19</v>
      </c>
      <c r="D398">
        <v>14851.66</v>
      </c>
      <c r="E398">
        <v>2</v>
      </c>
      <c r="F398">
        <v>29703.32</v>
      </c>
      <c r="G398" s="1">
        <v>45665</v>
      </c>
      <c r="H398" t="s">
        <v>12</v>
      </c>
      <c r="I398">
        <v>1.9</v>
      </c>
    </row>
    <row r="399" spans="1:9" x14ac:dyDescent="0.3">
      <c r="A399" t="s">
        <v>442</v>
      </c>
      <c r="B399" t="s">
        <v>34</v>
      </c>
      <c r="C399" t="s">
        <v>15</v>
      </c>
      <c r="D399">
        <v>40248.269999999997</v>
      </c>
      <c r="E399">
        <v>3</v>
      </c>
      <c r="F399">
        <v>120744.81</v>
      </c>
      <c r="G399" s="1">
        <v>45401</v>
      </c>
      <c r="H399" t="s">
        <v>28</v>
      </c>
      <c r="I399">
        <v>3.9</v>
      </c>
    </row>
    <row r="400" spans="1:9" x14ac:dyDescent="0.3">
      <c r="A400" t="s">
        <v>443</v>
      </c>
      <c r="B400" t="s">
        <v>14</v>
      </c>
      <c r="C400" t="s">
        <v>15</v>
      </c>
      <c r="D400">
        <v>37135.360000000001</v>
      </c>
      <c r="E400">
        <v>2</v>
      </c>
      <c r="F400">
        <v>74270.720000000001</v>
      </c>
      <c r="G400" s="1">
        <v>45649</v>
      </c>
      <c r="H400" t="s">
        <v>56</v>
      </c>
      <c r="I400">
        <v>3</v>
      </c>
    </row>
    <row r="401" spans="1:9" x14ac:dyDescent="0.3">
      <c r="A401" t="s">
        <v>444</v>
      </c>
      <c r="B401" t="s">
        <v>75</v>
      </c>
      <c r="C401" t="s">
        <v>19</v>
      </c>
      <c r="D401">
        <v>25794.78</v>
      </c>
      <c r="E401">
        <v>5</v>
      </c>
      <c r="F401">
        <v>128973.9</v>
      </c>
      <c r="G401" s="1">
        <v>45517</v>
      </c>
      <c r="H401" t="s">
        <v>12</v>
      </c>
      <c r="I401">
        <v>1</v>
      </c>
    </row>
    <row r="402" spans="1:9" x14ac:dyDescent="0.3">
      <c r="A402" t="s">
        <v>445</v>
      </c>
      <c r="B402" t="s">
        <v>75</v>
      </c>
      <c r="C402" t="s">
        <v>19</v>
      </c>
      <c r="D402">
        <v>47564.29</v>
      </c>
      <c r="E402">
        <v>3</v>
      </c>
      <c r="F402">
        <v>142692.87</v>
      </c>
      <c r="G402" s="1">
        <v>45435</v>
      </c>
      <c r="H402" t="s">
        <v>56</v>
      </c>
      <c r="I402">
        <v>3.5</v>
      </c>
    </row>
    <row r="403" spans="1:9" x14ac:dyDescent="0.3">
      <c r="A403" t="s">
        <v>446</v>
      </c>
      <c r="B403" t="s">
        <v>27</v>
      </c>
      <c r="C403" t="s">
        <v>25</v>
      </c>
      <c r="D403">
        <v>5500.92</v>
      </c>
      <c r="E403">
        <v>3</v>
      </c>
      <c r="F403">
        <v>16502.759999999998</v>
      </c>
      <c r="G403" s="1">
        <v>45500</v>
      </c>
      <c r="H403" t="s">
        <v>12</v>
      </c>
      <c r="I403">
        <v>2.2999999999999998</v>
      </c>
    </row>
    <row r="404" spans="1:9" x14ac:dyDescent="0.3">
      <c r="A404" t="s">
        <v>447</v>
      </c>
      <c r="B404" t="s">
        <v>46</v>
      </c>
      <c r="C404" t="s">
        <v>11</v>
      </c>
      <c r="D404">
        <v>904.29</v>
      </c>
      <c r="E404">
        <v>2</v>
      </c>
      <c r="F404">
        <v>1808.58</v>
      </c>
      <c r="G404" s="1">
        <v>45413</v>
      </c>
      <c r="H404" t="s">
        <v>12</v>
      </c>
      <c r="I404">
        <v>3.5</v>
      </c>
    </row>
    <row r="405" spans="1:9" x14ac:dyDescent="0.3">
      <c r="A405" t="s">
        <v>448</v>
      </c>
      <c r="B405" t="s">
        <v>21</v>
      </c>
      <c r="C405" t="s">
        <v>22</v>
      </c>
      <c r="D405">
        <v>25035.46</v>
      </c>
      <c r="E405">
        <v>2</v>
      </c>
      <c r="F405">
        <v>50070.92</v>
      </c>
      <c r="G405" s="1">
        <v>45397</v>
      </c>
      <c r="H405" t="s">
        <v>12</v>
      </c>
      <c r="I405">
        <v>4.5</v>
      </c>
    </row>
    <row r="406" spans="1:9" x14ac:dyDescent="0.3">
      <c r="A406" t="s">
        <v>449</v>
      </c>
      <c r="B406" t="s">
        <v>30</v>
      </c>
      <c r="C406" t="s">
        <v>15</v>
      </c>
      <c r="D406">
        <v>30156.36</v>
      </c>
      <c r="E406">
        <v>5</v>
      </c>
      <c r="F406">
        <v>150781.79999999999</v>
      </c>
      <c r="G406" s="1">
        <v>45663</v>
      </c>
      <c r="H406" t="s">
        <v>16</v>
      </c>
      <c r="I406">
        <v>4.4000000000000004</v>
      </c>
    </row>
    <row r="407" spans="1:9" x14ac:dyDescent="0.3">
      <c r="A407" t="s">
        <v>450</v>
      </c>
      <c r="B407" t="s">
        <v>34</v>
      </c>
      <c r="C407" t="s">
        <v>15</v>
      </c>
      <c r="D407">
        <v>42189.9</v>
      </c>
      <c r="E407">
        <v>1</v>
      </c>
      <c r="F407">
        <v>42189.9</v>
      </c>
      <c r="G407" s="1">
        <v>45669</v>
      </c>
      <c r="H407" t="s">
        <v>47</v>
      </c>
      <c r="I407">
        <v>3.4</v>
      </c>
    </row>
    <row r="408" spans="1:9" x14ac:dyDescent="0.3">
      <c r="A408" t="s">
        <v>451</v>
      </c>
      <c r="B408" t="s">
        <v>14</v>
      </c>
      <c r="C408" t="s">
        <v>15</v>
      </c>
      <c r="D408">
        <v>41122.81</v>
      </c>
      <c r="E408">
        <v>2</v>
      </c>
      <c r="F408">
        <v>82245.62</v>
      </c>
      <c r="G408" s="1">
        <v>45636</v>
      </c>
      <c r="H408" t="s">
        <v>56</v>
      </c>
      <c r="I408">
        <v>4.8</v>
      </c>
    </row>
    <row r="409" spans="1:9" x14ac:dyDescent="0.3">
      <c r="A409" t="s">
        <v>452</v>
      </c>
      <c r="B409" t="s">
        <v>54</v>
      </c>
      <c r="C409" t="s">
        <v>15</v>
      </c>
      <c r="D409">
        <v>21705.78</v>
      </c>
      <c r="E409">
        <v>1</v>
      </c>
      <c r="F409">
        <v>21705.78</v>
      </c>
      <c r="G409" s="1">
        <v>45570</v>
      </c>
      <c r="H409" t="s">
        <v>42</v>
      </c>
      <c r="I409">
        <v>1.1000000000000001</v>
      </c>
    </row>
    <row r="410" spans="1:9" x14ac:dyDescent="0.3">
      <c r="A410" t="s">
        <v>453</v>
      </c>
      <c r="B410" t="s">
        <v>82</v>
      </c>
      <c r="C410" t="s">
        <v>22</v>
      </c>
      <c r="D410">
        <v>28391.65</v>
      </c>
      <c r="E410">
        <v>3</v>
      </c>
      <c r="F410">
        <v>85174.95</v>
      </c>
      <c r="G410" s="1">
        <v>45637</v>
      </c>
      <c r="H410" t="s">
        <v>12</v>
      </c>
      <c r="I410">
        <v>2.5</v>
      </c>
    </row>
    <row r="411" spans="1:9" x14ac:dyDescent="0.3">
      <c r="A411" t="s">
        <v>454</v>
      </c>
      <c r="B411" t="s">
        <v>27</v>
      </c>
      <c r="C411" t="s">
        <v>25</v>
      </c>
      <c r="D411">
        <v>40031.86</v>
      </c>
      <c r="E411">
        <v>2</v>
      </c>
      <c r="F411">
        <v>80063.72</v>
      </c>
      <c r="G411" s="1">
        <v>45642</v>
      </c>
      <c r="H411" t="s">
        <v>42</v>
      </c>
      <c r="I411">
        <v>1.9</v>
      </c>
    </row>
    <row r="412" spans="1:9" x14ac:dyDescent="0.3">
      <c r="A412" t="s">
        <v>455</v>
      </c>
      <c r="B412" t="s">
        <v>27</v>
      </c>
      <c r="C412" t="s">
        <v>25</v>
      </c>
      <c r="D412">
        <v>41248.019999999997</v>
      </c>
      <c r="E412">
        <v>4</v>
      </c>
      <c r="F412">
        <v>164992.07999999999</v>
      </c>
      <c r="G412" s="1">
        <v>45669</v>
      </c>
      <c r="H412" t="s">
        <v>47</v>
      </c>
      <c r="I412">
        <v>2.6</v>
      </c>
    </row>
    <row r="413" spans="1:9" x14ac:dyDescent="0.3">
      <c r="A413" t="s">
        <v>456</v>
      </c>
      <c r="B413" t="s">
        <v>75</v>
      </c>
      <c r="C413" t="s">
        <v>19</v>
      </c>
      <c r="D413">
        <v>35325.379999999997</v>
      </c>
      <c r="E413">
        <v>2</v>
      </c>
      <c r="F413">
        <v>70650.759999999995</v>
      </c>
      <c r="G413" s="1">
        <v>45430</v>
      </c>
      <c r="H413" t="s">
        <v>16</v>
      </c>
      <c r="I413">
        <v>4.0999999999999996</v>
      </c>
    </row>
    <row r="414" spans="1:9" x14ac:dyDescent="0.3">
      <c r="A414" t="s">
        <v>457</v>
      </c>
      <c r="B414" t="s">
        <v>27</v>
      </c>
      <c r="C414" t="s">
        <v>25</v>
      </c>
      <c r="D414">
        <v>45866.22</v>
      </c>
      <c r="E414">
        <v>1</v>
      </c>
      <c r="F414">
        <v>45866.22</v>
      </c>
      <c r="G414" s="1">
        <v>45635</v>
      </c>
      <c r="H414" t="s">
        <v>42</v>
      </c>
      <c r="I414">
        <v>3.9</v>
      </c>
    </row>
    <row r="415" spans="1:9" x14ac:dyDescent="0.3">
      <c r="A415" t="s">
        <v>458</v>
      </c>
      <c r="B415" t="s">
        <v>151</v>
      </c>
      <c r="C415" t="s">
        <v>15</v>
      </c>
      <c r="D415">
        <v>42975.360000000001</v>
      </c>
      <c r="E415">
        <v>4</v>
      </c>
      <c r="F415">
        <v>171901.44</v>
      </c>
      <c r="G415" s="1">
        <v>45522</v>
      </c>
      <c r="H415" t="s">
        <v>42</v>
      </c>
      <c r="I415">
        <v>3.3</v>
      </c>
    </row>
    <row r="416" spans="1:9" x14ac:dyDescent="0.3">
      <c r="A416" t="s">
        <v>459</v>
      </c>
      <c r="B416" t="s">
        <v>36</v>
      </c>
      <c r="C416" t="s">
        <v>22</v>
      </c>
      <c r="D416">
        <v>7532.86</v>
      </c>
      <c r="E416">
        <v>5</v>
      </c>
      <c r="F416">
        <v>37664.300000000003</v>
      </c>
      <c r="G416" s="1">
        <v>45695</v>
      </c>
      <c r="H416" t="s">
        <v>16</v>
      </c>
      <c r="I416">
        <v>1.5</v>
      </c>
    </row>
    <row r="417" spans="1:9" x14ac:dyDescent="0.3">
      <c r="A417" t="s">
        <v>460</v>
      </c>
      <c r="B417" t="s">
        <v>18</v>
      </c>
      <c r="C417" t="s">
        <v>19</v>
      </c>
      <c r="D417">
        <v>39931.75</v>
      </c>
      <c r="E417">
        <v>4</v>
      </c>
      <c r="F417">
        <v>159727</v>
      </c>
      <c r="G417" s="1">
        <v>45401</v>
      </c>
      <c r="H417" t="s">
        <v>47</v>
      </c>
      <c r="I417">
        <v>2.4</v>
      </c>
    </row>
    <row r="418" spans="1:9" x14ac:dyDescent="0.3">
      <c r="A418" t="s">
        <v>461</v>
      </c>
      <c r="B418" t="s">
        <v>82</v>
      </c>
      <c r="C418" t="s">
        <v>22</v>
      </c>
      <c r="D418">
        <v>20760.439999999999</v>
      </c>
      <c r="E418">
        <v>4</v>
      </c>
      <c r="F418">
        <v>83041.759999999995</v>
      </c>
      <c r="G418" s="1">
        <v>45361</v>
      </c>
      <c r="H418" t="s">
        <v>42</v>
      </c>
      <c r="I418">
        <v>2.4</v>
      </c>
    </row>
    <row r="419" spans="1:9" x14ac:dyDescent="0.3">
      <c r="A419" t="s">
        <v>462</v>
      </c>
      <c r="B419" t="s">
        <v>54</v>
      </c>
      <c r="C419" t="s">
        <v>15</v>
      </c>
      <c r="D419">
        <v>29466.3</v>
      </c>
      <c r="E419">
        <v>5</v>
      </c>
      <c r="F419">
        <v>147331.5</v>
      </c>
      <c r="G419" s="1">
        <v>45496</v>
      </c>
      <c r="H419" t="s">
        <v>56</v>
      </c>
      <c r="I419">
        <v>1.3</v>
      </c>
    </row>
    <row r="420" spans="1:9" x14ac:dyDescent="0.3">
      <c r="A420" t="s">
        <v>463</v>
      </c>
      <c r="B420" t="s">
        <v>18</v>
      </c>
      <c r="C420" t="s">
        <v>19</v>
      </c>
      <c r="D420">
        <v>756.85</v>
      </c>
      <c r="E420">
        <v>3</v>
      </c>
      <c r="F420">
        <v>2270.5500000000002</v>
      </c>
      <c r="G420" s="1">
        <v>45600</v>
      </c>
      <c r="H420" t="s">
        <v>16</v>
      </c>
      <c r="I420">
        <v>4.8</v>
      </c>
    </row>
    <row r="421" spans="1:9" x14ac:dyDescent="0.3">
      <c r="A421" t="s">
        <v>464</v>
      </c>
      <c r="B421" t="s">
        <v>21</v>
      </c>
      <c r="C421" t="s">
        <v>22</v>
      </c>
      <c r="D421">
        <v>43711.45</v>
      </c>
      <c r="E421">
        <v>4</v>
      </c>
      <c r="F421">
        <v>174845.8</v>
      </c>
      <c r="G421" s="1">
        <v>45470</v>
      </c>
      <c r="H421" t="s">
        <v>28</v>
      </c>
      <c r="I421">
        <v>4.5</v>
      </c>
    </row>
    <row r="422" spans="1:9" x14ac:dyDescent="0.3">
      <c r="A422" t="s">
        <v>465</v>
      </c>
      <c r="B422" t="s">
        <v>46</v>
      </c>
      <c r="C422" t="s">
        <v>11</v>
      </c>
      <c r="D422">
        <v>1134.78</v>
      </c>
      <c r="E422">
        <v>2</v>
      </c>
      <c r="F422">
        <v>2269.56</v>
      </c>
      <c r="G422" s="1">
        <v>45452</v>
      </c>
      <c r="H422" t="s">
        <v>12</v>
      </c>
      <c r="I422">
        <v>3.9</v>
      </c>
    </row>
    <row r="423" spans="1:9" x14ac:dyDescent="0.3">
      <c r="A423" t="s">
        <v>466</v>
      </c>
      <c r="B423" t="s">
        <v>120</v>
      </c>
      <c r="C423" t="s">
        <v>25</v>
      </c>
      <c r="D423">
        <v>6859</v>
      </c>
      <c r="E423">
        <v>3</v>
      </c>
      <c r="F423">
        <v>20577</v>
      </c>
      <c r="G423" s="1">
        <v>45570</v>
      </c>
      <c r="H423" t="s">
        <v>56</v>
      </c>
      <c r="I423">
        <v>1.6</v>
      </c>
    </row>
    <row r="424" spans="1:9" x14ac:dyDescent="0.3">
      <c r="A424" t="s">
        <v>467</v>
      </c>
      <c r="B424" t="s">
        <v>100</v>
      </c>
      <c r="C424" t="s">
        <v>11</v>
      </c>
      <c r="D424">
        <v>28818.74</v>
      </c>
      <c r="E424">
        <v>3</v>
      </c>
      <c r="F424">
        <v>86456.22</v>
      </c>
      <c r="G424" s="1">
        <v>45470</v>
      </c>
      <c r="H424" t="s">
        <v>12</v>
      </c>
      <c r="I424">
        <v>1.4</v>
      </c>
    </row>
    <row r="425" spans="1:9" x14ac:dyDescent="0.3">
      <c r="A425" t="s">
        <v>468</v>
      </c>
      <c r="B425" t="s">
        <v>71</v>
      </c>
      <c r="C425" t="s">
        <v>22</v>
      </c>
      <c r="D425">
        <v>25233.95</v>
      </c>
      <c r="E425">
        <v>4</v>
      </c>
      <c r="F425">
        <v>100935.8</v>
      </c>
      <c r="G425" s="1">
        <v>45590</v>
      </c>
      <c r="H425" t="s">
        <v>42</v>
      </c>
      <c r="I425">
        <v>4.0999999999999996</v>
      </c>
    </row>
    <row r="426" spans="1:9" x14ac:dyDescent="0.3">
      <c r="A426" t="s">
        <v>469</v>
      </c>
      <c r="B426" t="s">
        <v>10</v>
      </c>
      <c r="C426" t="s">
        <v>11</v>
      </c>
      <c r="D426">
        <v>28577.34</v>
      </c>
      <c r="E426">
        <v>1</v>
      </c>
      <c r="F426">
        <v>28577.34</v>
      </c>
      <c r="G426" s="1">
        <v>45524</v>
      </c>
      <c r="H426" t="s">
        <v>16</v>
      </c>
      <c r="I426">
        <v>2.7</v>
      </c>
    </row>
    <row r="427" spans="1:9" x14ac:dyDescent="0.3">
      <c r="A427" t="s">
        <v>470</v>
      </c>
      <c r="B427" t="s">
        <v>60</v>
      </c>
      <c r="C427" t="s">
        <v>25</v>
      </c>
      <c r="D427">
        <v>7322.87</v>
      </c>
      <c r="E427">
        <v>3</v>
      </c>
      <c r="F427">
        <v>21968.61</v>
      </c>
      <c r="G427" s="1">
        <v>45344</v>
      </c>
      <c r="H427" t="s">
        <v>42</v>
      </c>
      <c r="I427">
        <v>5</v>
      </c>
    </row>
    <row r="428" spans="1:9" x14ac:dyDescent="0.3">
      <c r="A428" t="s">
        <v>471</v>
      </c>
      <c r="B428" t="s">
        <v>93</v>
      </c>
      <c r="C428" t="s">
        <v>11</v>
      </c>
      <c r="D428">
        <v>25144.48</v>
      </c>
      <c r="E428">
        <v>4</v>
      </c>
      <c r="F428">
        <v>100577.92</v>
      </c>
      <c r="G428" s="1">
        <v>45417</v>
      </c>
      <c r="H428" t="s">
        <v>56</v>
      </c>
      <c r="I428">
        <v>1.3</v>
      </c>
    </row>
    <row r="429" spans="1:9" x14ac:dyDescent="0.3">
      <c r="A429" t="s">
        <v>472</v>
      </c>
      <c r="B429" t="s">
        <v>27</v>
      </c>
      <c r="C429" t="s">
        <v>25</v>
      </c>
      <c r="D429">
        <v>16289.17</v>
      </c>
      <c r="E429">
        <v>5</v>
      </c>
      <c r="F429">
        <v>81445.850000000006</v>
      </c>
      <c r="G429" s="1">
        <v>45610</v>
      </c>
      <c r="H429" t="s">
        <v>56</v>
      </c>
      <c r="I429">
        <v>2.6</v>
      </c>
    </row>
    <row r="430" spans="1:9" x14ac:dyDescent="0.3">
      <c r="A430" t="s">
        <v>473</v>
      </c>
      <c r="B430" t="s">
        <v>46</v>
      </c>
      <c r="C430" t="s">
        <v>11</v>
      </c>
      <c r="D430">
        <v>24973.13</v>
      </c>
      <c r="E430">
        <v>3</v>
      </c>
      <c r="F430">
        <v>74919.39</v>
      </c>
      <c r="G430" s="1">
        <v>45634</v>
      </c>
      <c r="H430" t="s">
        <v>12</v>
      </c>
      <c r="I430">
        <v>3.2</v>
      </c>
    </row>
    <row r="431" spans="1:9" x14ac:dyDescent="0.3">
      <c r="A431" t="s">
        <v>474</v>
      </c>
      <c r="B431" t="s">
        <v>24</v>
      </c>
      <c r="C431" t="s">
        <v>25</v>
      </c>
      <c r="D431">
        <v>5804.38</v>
      </c>
      <c r="E431">
        <v>2</v>
      </c>
      <c r="F431">
        <v>11608.76</v>
      </c>
      <c r="G431" s="1">
        <v>45428</v>
      </c>
      <c r="H431" t="s">
        <v>42</v>
      </c>
      <c r="I431">
        <v>2.2000000000000002</v>
      </c>
    </row>
    <row r="432" spans="1:9" x14ac:dyDescent="0.3">
      <c r="A432" t="s">
        <v>475</v>
      </c>
      <c r="B432" t="s">
        <v>14</v>
      </c>
      <c r="C432" t="s">
        <v>15</v>
      </c>
      <c r="D432">
        <v>43502.85</v>
      </c>
      <c r="E432">
        <v>1</v>
      </c>
      <c r="F432">
        <v>43502.85</v>
      </c>
      <c r="G432" s="1">
        <v>45364</v>
      </c>
      <c r="H432" t="s">
        <v>56</v>
      </c>
      <c r="I432">
        <v>4.2</v>
      </c>
    </row>
    <row r="433" spans="1:9" x14ac:dyDescent="0.3">
      <c r="A433" t="s">
        <v>476</v>
      </c>
      <c r="B433" t="s">
        <v>44</v>
      </c>
      <c r="C433" t="s">
        <v>22</v>
      </c>
      <c r="D433">
        <v>46770.01</v>
      </c>
      <c r="E433">
        <v>5</v>
      </c>
      <c r="F433">
        <v>233850.05</v>
      </c>
      <c r="G433" s="1">
        <v>45392</v>
      </c>
      <c r="H433" t="s">
        <v>56</v>
      </c>
      <c r="I433">
        <v>2.9</v>
      </c>
    </row>
    <row r="434" spans="1:9" x14ac:dyDescent="0.3">
      <c r="A434" t="s">
        <v>477</v>
      </c>
      <c r="B434" t="s">
        <v>71</v>
      </c>
      <c r="C434" t="s">
        <v>22</v>
      </c>
      <c r="D434">
        <v>38160.980000000003</v>
      </c>
      <c r="E434">
        <v>2</v>
      </c>
      <c r="F434">
        <v>76321.960000000006</v>
      </c>
      <c r="G434" s="1">
        <v>45382</v>
      </c>
      <c r="H434" t="s">
        <v>12</v>
      </c>
      <c r="I434">
        <v>4</v>
      </c>
    </row>
    <row r="435" spans="1:9" x14ac:dyDescent="0.3">
      <c r="A435" t="s">
        <v>478</v>
      </c>
      <c r="B435" t="s">
        <v>82</v>
      </c>
      <c r="C435" t="s">
        <v>22</v>
      </c>
      <c r="D435">
        <v>14797.27</v>
      </c>
      <c r="E435">
        <v>2</v>
      </c>
      <c r="F435">
        <v>29594.54</v>
      </c>
      <c r="G435" s="1">
        <v>45682</v>
      </c>
      <c r="H435" t="s">
        <v>16</v>
      </c>
      <c r="I435">
        <v>3.4</v>
      </c>
    </row>
    <row r="436" spans="1:9" x14ac:dyDescent="0.3">
      <c r="A436" t="s">
        <v>479</v>
      </c>
      <c r="B436" t="s">
        <v>75</v>
      </c>
      <c r="C436" t="s">
        <v>19</v>
      </c>
      <c r="D436">
        <v>16951.57</v>
      </c>
      <c r="E436">
        <v>5</v>
      </c>
      <c r="F436">
        <v>84757.85</v>
      </c>
      <c r="G436" s="1">
        <v>45379</v>
      </c>
      <c r="H436" t="s">
        <v>28</v>
      </c>
      <c r="I436">
        <v>2</v>
      </c>
    </row>
    <row r="437" spans="1:9" x14ac:dyDescent="0.3">
      <c r="A437" t="s">
        <v>480</v>
      </c>
      <c r="B437" t="s">
        <v>44</v>
      </c>
      <c r="C437" t="s">
        <v>22</v>
      </c>
      <c r="D437">
        <v>20087.650000000001</v>
      </c>
      <c r="E437">
        <v>2</v>
      </c>
      <c r="F437">
        <v>40175.300000000003</v>
      </c>
      <c r="G437" s="1">
        <v>45592</v>
      </c>
      <c r="H437" t="s">
        <v>28</v>
      </c>
      <c r="I437">
        <v>2.7</v>
      </c>
    </row>
    <row r="438" spans="1:9" x14ac:dyDescent="0.3">
      <c r="A438" t="s">
        <v>481</v>
      </c>
      <c r="B438" t="s">
        <v>18</v>
      </c>
      <c r="C438" t="s">
        <v>19</v>
      </c>
      <c r="D438">
        <v>45544.54</v>
      </c>
      <c r="E438">
        <v>4</v>
      </c>
      <c r="F438">
        <v>182178.16</v>
      </c>
      <c r="G438" s="1">
        <v>45405</v>
      </c>
      <c r="H438" t="s">
        <v>42</v>
      </c>
      <c r="I438">
        <v>3</v>
      </c>
    </row>
    <row r="439" spans="1:9" x14ac:dyDescent="0.3">
      <c r="A439" t="s">
        <v>482</v>
      </c>
      <c r="B439" t="s">
        <v>75</v>
      </c>
      <c r="C439" t="s">
        <v>19</v>
      </c>
      <c r="D439">
        <v>4986.8999999999996</v>
      </c>
      <c r="E439">
        <v>1</v>
      </c>
      <c r="F439">
        <v>4986.8999999999996</v>
      </c>
      <c r="G439" s="1">
        <v>45649</v>
      </c>
      <c r="H439" t="s">
        <v>42</v>
      </c>
      <c r="I439">
        <v>4.4000000000000004</v>
      </c>
    </row>
    <row r="440" spans="1:9" x14ac:dyDescent="0.3">
      <c r="A440" t="s">
        <v>483</v>
      </c>
      <c r="B440" t="s">
        <v>60</v>
      </c>
      <c r="C440" t="s">
        <v>25</v>
      </c>
      <c r="D440">
        <v>37890.559999999998</v>
      </c>
      <c r="E440">
        <v>1</v>
      </c>
      <c r="F440">
        <v>37890.559999999998</v>
      </c>
      <c r="G440" s="1">
        <v>45473</v>
      </c>
      <c r="H440" t="s">
        <v>42</v>
      </c>
      <c r="I440">
        <v>2.4</v>
      </c>
    </row>
    <row r="441" spans="1:9" x14ac:dyDescent="0.3">
      <c r="A441" t="s">
        <v>484</v>
      </c>
      <c r="B441" t="s">
        <v>36</v>
      </c>
      <c r="C441" t="s">
        <v>22</v>
      </c>
      <c r="D441">
        <v>26947.54</v>
      </c>
      <c r="E441">
        <v>2</v>
      </c>
      <c r="F441">
        <v>53895.08</v>
      </c>
      <c r="G441" s="1">
        <v>45448</v>
      </c>
      <c r="H441" t="s">
        <v>56</v>
      </c>
      <c r="I441">
        <v>4.0999999999999996</v>
      </c>
    </row>
    <row r="442" spans="1:9" x14ac:dyDescent="0.3">
      <c r="A442" t="s">
        <v>485</v>
      </c>
      <c r="B442" t="s">
        <v>82</v>
      </c>
      <c r="C442" t="s">
        <v>22</v>
      </c>
      <c r="D442">
        <v>16929.740000000002</v>
      </c>
      <c r="E442">
        <v>3</v>
      </c>
      <c r="F442">
        <v>50789.22</v>
      </c>
      <c r="G442" s="1">
        <v>45368</v>
      </c>
      <c r="H442" t="s">
        <v>28</v>
      </c>
      <c r="I442">
        <v>1.5</v>
      </c>
    </row>
    <row r="443" spans="1:9" x14ac:dyDescent="0.3">
      <c r="A443" t="s">
        <v>486</v>
      </c>
      <c r="B443" t="s">
        <v>44</v>
      </c>
      <c r="C443" t="s">
        <v>22</v>
      </c>
      <c r="D443">
        <v>30310.92</v>
      </c>
      <c r="E443">
        <v>3</v>
      </c>
      <c r="F443">
        <v>90932.76</v>
      </c>
      <c r="G443" s="1">
        <v>45402</v>
      </c>
      <c r="H443" t="s">
        <v>16</v>
      </c>
      <c r="I443">
        <v>3.5</v>
      </c>
    </row>
    <row r="444" spans="1:9" x14ac:dyDescent="0.3">
      <c r="A444" t="s">
        <v>487</v>
      </c>
      <c r="B444" t="s">
        <v>10</v>
      </c>
      <c r="C444" t="s">
        <v>11</v>
      </c>
      <c r="D444">
        <v>33643.5</v>
      </c>
      <c r="E444">
        <v>5</v>
      </c>
      <c r="F444">
        <v>168217.5</v>
      </c>
      <c r="G444" s="1">
        <v>45459</v>
      </c>
      <c r="H444" t="s">
        <v>16</v>
      </c>
      <c r="I444">
        <v>4.2</v>
      </c>
    </row>
    <row r="445" spans="1:9" x14ac:dyDescent="0.3">
      <c r="A445" t="s">
        <v>488</v>
      </c>
      <c r="B445" t="s">
        <v>50</v>
      </c>
      <c r="C445" t="s">
        <v>11</v>
      </c>
      <c r="D445">
        <v>27847.81</v>
      </c>
      <c r="E445">
        <v>3</v>
      </c>
      <c r="F445">
        <v>83543.429999999993</v>
      </c>
      <c r="G445" s="1">
        <v>45551</v>
      </c>
      <c r="H445" t="s">
        <v>56</v>
      </c>
      <c r="I445">
        <v>4.3</v>
      </c>
    </row>
    <row r="446" spans="1:9" x14ac:dyDescent="0.3">
      <c r="A446" t="s">
        <v>489</v>
      </c>
      <c r="B446" t="s">
        <v>10</v>
      </c>
      <c r="C446" t="s">
        <v>11</v>
      </c>
      <c r="D446">
        <v>19055.03</v>
      </c>
      <c r="E446">
        <v>3</v>
      </c>
      <c r="F446">
        <v>57165.09</v>
      </c>
      <c r="G446" s="1">
        <v>45529</v>
      </c>
      <c r="H446" t="s">
        <v>47</v>
      </c>
      <c r="I446">
        <v>4.3</v>
      </c>
    </row>
    <row r="447" spans="1:9" x14ac:dyDescent="0.3">
      <c r="A447" t="s">
        <v>490</v>
      </c>
      <c r="B447" t="s">
        <v>100</v>
      </c>
      <c r="C447" t="s">
        <v>11</v>
      </c>
      <c r="D447">
        <v>24012.7</v>
      </c>
      <c r="E447">
        <v>1</v>
      </c>
      <c r="F447">
        <v>24012.7</v>
      </c>
      <c r="G447" s="1">
        <v>45622</v>
      </c>
      <c r="H447" t="s">
        <v>47</v>
      </c>
      <c r="I447">
        <v>4.8</v>
      </c>
    </row>
    <row r="448" spans="1:9" x14ac:dyDescent="0.3">
      <c r="A448" t="s">
        <v>491</v>
      </c>
      <c r="B448" t="s">
        <v>30</v>
      </c>
      <c r="C448" t="s">
        <v>15</v>
      </c>
      <c r="D448">
        <v>8182.19</v>
      </c>
      <c r="E448">
        <v>2</v>
      </c>
      <c r="F448">
        <v>16364.38</v>
      </c>
      <c r="G448" s="1">
        <v>45508</v>
      </c>
      <c r="H448" t="s">
        <v>42</v>
      </c>
      <c r="I448">
        <v>4.2</v>
      </c>
    </row>
    <row r="449" spans="1:9" x14ac:dyDescent="0.3">
      <c r="A449" t="s">
        <v>492</v>
      </c>
      <c r="B449" t="s">
        <v>69</v>
      </c>
      <c r="C449" t="s">
        <v>19</v>
      </c>
      <c r="D449">
        <v>35810.629999999997</v>
      </c>
      <c r="E449">
        <v>4</v>
      </c>
      <c r="F449">
        <v>143242.51999999999</v>
      </c>
      <c r="G449" s="1">
        <v>45388</v>
      </c>
      <c r="H449" t="s">
        <v>16</v>
      </c>
      <c r="I449">
        <v>1.2</v>
      </c>
    </row>
    <row r="450" spans="1:9" x14ac:dyDescent="0.3">
      <c r="A450" t="s">
        <v>493</v>
      </c>
      <c r="B450" t="s">
        <v>54</v>
      </c>
      <c r="C450" t="s">
        <v>15</v>
      </c>
      <c r="D450">
        <v>23433.86</v>
      </c>
      <c r="E450">
        <v>1</v>
      </c>
      <c r="F450">
        <v>23433.86</v>
      </c>
      <c r="G450" s="1">
        <v>45521</v>
      </c>
      <c r="H450" t="s">
        <v>42</v>
      </c>
      <c r="I450">
        <v>3.8</v>
      </c>
    </row>
    <row r="451" spans="1:9" x14ac:dyDescent="0.3">
      <c r="A451" t="s">
        <v>494</v>
      </c>
      <c r="B451" t="s">
        <v>36</v>
      </c>
      <c r="C451" t="s">
        <v>22</v>
      </c>
      <c r="D451">
        <v>42946.11</v>
      </c>
      <c r="E451">
        <v>4</v>
      </c>
      <c r="F451">
        <v>171784.44</v>
      </c>
      <c r="G451" s="1">
        <v>45535</v>
      </c>
      <c r="H451" t="s">
        <v>16</v>
      </c>
      <c r="I451">
        <v>3.2</v>
      </c>
    </row>
    <row r="452" spans="1:9" x14ac:dyDescent="0.3">
      <c r="A452" t="s">
        <v>495</v>
      </c>
      <c r="B452" t="s">
        <v>30</v>
      </c>
      <c r="C452" t="s">
        <v>15</v>
      </c>
      <c r="D452">
        <v>3995.44</v>
      </c>
      <c r="E452">
        <v>4</v>
      </c>
      <c r="F452">
        <v>15981.76</v>
      </c>
      <c r="G452" s="1">
        <v>45438</v>
      </c>
      <c r="H452" t="s">
        <v>12</v>
      </c>
      <c r="I452">
        <v>4</v>
      </c>
    </row>
    <row r="453" spans="1:9" x14ac:dyDescent="0.3">
      <c r="A453" t="s">
        <v>496</v>
      </c>
      <c r="B453" t="s">
        <v>18</v>
      </c>
      <c r="C453" t="s">
        <v>19</v>
      </c>
      <c r="D453">
        <v>38728.75</v>
      </c>
      <c r="E453">
        <v>1</v>
      </c>
      <c r="F453">
        <v>38728.75</v>
      </c>
      <c r="G453" s="1">
        <v>45570</v>
      </c>
      <c r="H453" t="s">
        <v>28</v>
      </c>
      <c r="I453">
        <v>4</v>
      </c>
    </row>
    <row r="454" spans="1:9" x14ac:dyDescent="0.3">
      <c r="A454" t="s">
        <v>497</v>
      </c>
      <c r="B454" t="s">
        <v>34</v>
      </c>
      <c r="C454" t="s">
        <v>15</v>
      </c>
      <c r="D454">
        <v>46205.47</v>
      </c>
      <c r="E454">
        <v>3</v>
      </c>
      <c r="F454">
        <v>138616.41</v>
      </c>
      <c r="G454" s="1">
        <v>45542</v>
      </c>
      <c r="H454" t="s">
        <v>47</v>
      </c>
      <c r="I454">
        <v>2.7</v>
      </c>
    </row>
    <row r="455" spans="1:9" x14ac:dyDescent="0.3">
      <c r="A455" t="s">
        <v>498</v>
      </c>
      <c r="B455" t="s">
        <v>14</v>
      </c>
      <c r="C455" t="s">
        <v>15</v>
      </c>
      <c r="D455">
        <v>7631.48</v>
      </c>
      <c r="E455">
        <v>3</v>
      </c>
      <c r="F455">
        <v>22894.44</v>
      </c>
      <c r="G455" s="1">
        <v>45491</v>
      </c>
      <c r="H455" t="s">
        <v>12</v>
      </c>
      <c r="I455">
        <v>3</v>
      </c>
    </row>
    <row r="456" spans="1:9" x14ac:dyDescent="0.3">
      <c r="A456" t="s">
        <v>499</v>
      </c>
      <c r="B456" t="s">
        <v>46</v>
      </c>
      <c r="C456" t="s">
        <v>11</v>
      </c>
      <c r="D456">
        <v>4581.7299999999996</v>
      </c>
      <c r="E456">
        <v>4</v>
      </c>
      <c r="F456">
        <v>18326.919999999998</v>
      </c>
      <c r="G456" s="1">
        <v>45436</v>
      </c>
      <c r="H456" t="s">
        <v>47</v>
      </c>
      <c r="I456">
        <v>3.4</v>
      </c>
    </row>
    <row r="457" spans="1:9" x14ac:dyDescent="0.3">
      <c r="A457" t="s">
        <v>500</v>
      </c>
      <c r="B457" t="s">
        <v>36</v>
      </c>
      <c r="C457" t="s">
        <v>22</v>
      </c>
      <c r="D457">
        <v>9761.64</v>
      </c>
      <c r="E457">
        <v>3</v>
      </c>
      <c r="F457">
        <v>29284.92</v>
      </c>
      <c r="G457" s="1">
        <v>45531</v>
      </c>
      <c r="H457" t="s">
        <v>28</v>
      </c>
      <c r="I457">
        <v>2.5</v>
      </c>
    </row>
    <row r="458" spans="1:9" x14ac:dyDescent="0.3">
      <c r="A458" t="s">
        <v>501</v>
      </c>
      <c r="B458" t="s">
        <v>69</v>
      </c>
      <c r="C458" t="s">
        <v>19</v>
      </c>
      <c r="D458">
        <v>1582.84</v>
      </c>
      <c r="E458">
        <v>3</v>
      </c>
      <c r="F458">
        <v>4748.5200000000004</v>
      </c>
      <c r="G458" s="1">
        <v>45545</v>
      </c>
      <c r="H458" t="s">
        <v>12</v>
      </c>
      <c r="I458">
        <v>2.9</v>
      </c>
    </row>
    <row r="459" spans="1:9" x14ac:dyDescent="0.3">
      <c r="A459" t="s">
        <v>502</v>
      </c>
      <c r="B459" t="s">
        <v>71</v>
      </c>
      <c r="C459" t="s">
        <v>22</v>
      </c>
      <c r="D459">
        <v>8902.26</v>
      </c>
      <c r="E459">
        <v>5</v>
      </c>
      <c r="F459">
        <v>44511.3</v>
      </c>
      <c r="G459" s="1">
        <v>45665</v>
      </c>
      <c r="H459" t="s">
        <v>12</v>
      </c>
      <c r="I459">
        <v>2.4</v>
      </c>
    </row>
    <row r="460" spans="1:9" x14ac:dyDescent="0.3">
      <c r="A460" t="s">
        <v>503</v>
      </c>
      <c r="B460" t="s">
        <v>120</v>
      </c>
      <c r="C460" t="s">
        <v>25</v>
      </c>
      <c r="D460">
        <v>1549.63</v>
      </c>
      <c r="E460">
        <v>1</v>
      </c>
      <c r="F460">
        <v>1549.63</v>
      </c>
      <c r="G460" s="1">
        <v>45623</v>
      </c>
      <c r="H460" t="s">
        <v>42</v>
      </c>
      <c r="I460">
        <v>3</v>
      </c>
    </row>
    <row r="461" spans="1:9" x14ac:dyDescent="0.3">
      <c r="A461" t="s">
        <v>504</v>
      </c>
      <c r="B461" t="s">
        <v>10</v>
      </c>
      <c r="C461" t="s">
        <v>11</v>
      </c>
      <c r="D461">
        <v>23520.5</v>
      </c>
      <c r="E461">
        <v>5</v>
      </c>
      <c r="F461">
        <v>117602.5</v>
      </c>
      <c r="G461" s="1">
        <v>45408</v>
      </c>
      <c r="H461" t="s">
        <v>12</v>
      </c>
      <c r="I461">
        <v>1.2</v>
      </c>
    </row>
    <row r="462" spans="1:9" x14ac:dyDescent="0.3">
      <c r="A462" t="s">
        <v>505</v>
      </c>
      <c r="B462" t="s">
        <v>18</v>
      </c>
      <c r="C462" t="s">
        <v>19</v>
      </c>
      <c r="D462">
        <v>18729.61</v>
      </c>
      <c r="E462">
        <v>1</v>
      </c>
      <c r="F462">
        <v>18729.61</v>
      </c>
      <c r="G462" s="1">
        <v>45385</v>
      </c>
      <c r="H462" t="s">
        <v>42</v>
      </c>
      <c r="I462">
        <v>1</v>
      </c>
    </row>
    <row r="463" spans="1:9" x14ac:dyDescent="0.3">
      <c r="A463" t="s">
        <v>506</v>
      </c>
      <c r="B463" t="s">
        <v>100</v>
      </c>
      <c r="C463" t="s">
        <v>11</v>
      </c>
      <c r="D463">
        <v>18085.73</v>
      </c>
      <c r="E463">
        <v>3</v>
      </c>
      <c r="F463">
        <v>54257.19</v>
      </c>
      <c r="G463" s="1">
        <v>45485</v>
      </c>
      <c r="H463" t="s">
        <v>56</v>
      </c>
      <c r="I463">
        <v>4.0999999999999996</v>
      </c>
    </row>
    <row r="464" spans="1:9" x14ac:dyDescent="0.3">
      <c r="A464" t="s">
        <v>507</v>
      </c>
      <c r="B464" t="s">
        <v>40</v>
      </c>
      <c r="C464" t="s">
        <v>19</v>
      </c>
      <c r="D464">
        <v>29844.59</v>
      </c>
      <c r="E464">
        <v>3</v>
      </c>
      <c r="F464">
        <v>89533.77</v>
      </c>
      <c r="G464" s="1">
        <v>45471</v>
      </c>
      <c r="H464" t="s">
        <v>47</v>
      </c>
      <c r="I464">
        <v>3.9</v>
      </c>
    </row>
    <row r="465" spans="1:9" x14ac:dyDescent="0.3">
      <c r="A465" t="s">
        <v>508</v>
      </c>
      <c r="B465" t="s">
        <v>36</v>
      </c>
      <c r="C465" t="s">
        <v>22</v>
      </c>
      <c r="D465">
        <v>12964.52</v>
      </c>
      <c r="E465">
        <v>2</v>
      </c>
      <c r="F465">
        <v>25929.040000000001</v>
      </c>
      <c r="G465" s="1">
        <v>45619</v>
      </c>
      <c r="H465" t="s">
        <v>28</v>
      </c>
      <c r="I465">
        <v>2.7</v>
      </c>
    </row>
    <row r="466" spans="1:9" x14ac:dyDescent="0.3">
      <c r="A466" t="s">
        <v>509</v>
      </c>
      <c r="B466" t="s">
        <v>36</v>
      </c>
      <c r="C466" t="s">
        <v>22</v>
      </c>
      <c r="D466">
        <v>43431.64</v>
      </c>
      <c r="E466">
        <v>5</v>
      </c>
      <c r="F466">
        <v>217158.2</v>
      </c>
      <c r="G466" s="1">
        <v>45463</v>
      </c>
      <c r="H466" t="s">
        <v>47</v>
      </c>
      <c r="I466">
        <v>4.4000000000000004</v>
      </c>
    </row>
    <row r="467" spans="1:9" x14ac:dyDescent="0.3">
      <c r="A467" t="s">
        <v>510</v>
      </c>
      <c r="B467" t="s">
        <v>21</v>
      </c>
      <c r="C467" t="s">
        <v>22</v>
      </c>
      <c r="D467">
        <v>31005.06</v>
      </c>
      <c r="E467">
        <v>4</v>
      </c>
      <c r="F467">
        <v>124020.24</v>
      </c>
      <c r="G467" s="1">
        <v>45495</v>
      </c>
      <c r="H467" t="s">
        <v>56</v>
      </c>
      <c r="I467">
        <v>4</v>
      </c>
    </row>
    <row r="468" spans="1:9" x14ac:dyDescent="0.3">
      <c r="A468" t="s">
        <v>511</v>
      </c>
      <c r="B468" t="s">
        <v>18</v>
      </c>
      <c r="C468" t="s">
        <v>19</v>
      </c>
      <c r="D468">
        <v>16010.24</v>
      </c>
      <c r="E468">
        <v>3</v>
      </c>
      <c r="F468">
        <v>48030.720000000001</v>
      </c>
      <c r="G468" s="1">
        <v>45617</v>
      </c>
      <c r="H468" t="s">
        <v>56</v>
      </c>
      <c r="I468">
        <v>1.6</v>
      </c>
    </row>
    <row r="469" spans="1:9" x14ac:dyDescent="0.3">
      <c r="A469" t="s">
        <v>512</v>
      </c>
      <c r="B469" t="s">
        <v>82</v>
      </c>
      <c r="C469" t="s">
        <v>22</v>
      </c>
      <c r="D469">
        <v>18451.91</v>
      </c>
      <c r="E469">
        <v>5</v>
      </c>
      <c r="F469">
        <v>92259.55</v>
      </c>
      <c r="G469" s="1">
        <v>45547</v>
      </c>
      <c r="H469" t="s">
        <v>16</v>
      </c>
      <c r="I469">
        <v>4.9000000000000004</v>
      </c>
    </row>
    <row r="470" spans="1:9" x14ac:dyDescent="0.3">
      <c r="A470" t="s">
        <v>513</v>
      </c>
      <c r="B470" t="s">
        <v>21</v>
      </c>
      <c r="C470" t="s">
        <v>22</v>
      </c>
      <c r="D470">
        <v>31793.09</v>
      </c>
      <c r="E470">
        <v>4</v>
      </c>
      <c r="F470">
        <v>127172.36</v>
      </c>
      <c r="G470" s="1">
        <v>45341</v>
      </c>
      <c r="H470" t="s">
        <v>42</v>
      </c>
      <c r="I470">
        <v>4.8</v>
      </c>
    </row>
    <row r="471" spans="1:9" x14ac:dyDescent="0.3">
      <c r="A471" t="s">
        <v>514</v>
      </c>
      <c r="B471" t="s">
        <v>54</v>
      </c>
      <c r="C471" t="s">
        <v>15</v>
      </c>
      <c r="D471">
        <v>36666.620000000003</v>
      </c>
      <c r="E471">
        <v>4</v>
      </c>
      <c r="F471">
        <v>146666.48000000001</v>
      </c>
      <c r="G471" s="1">
        <v>45563</v>
      </c>
      <c r="H471" t="s">
        <v>56</v>
      </c>
      <c r="I471">
        <v>2.1</v>
      </c>
    </row>
    <row r="472" spans="1:9" x14ac:dyDescent="0.3">
      <c r="A472" t="s">
        <v>515</v>
      </c>
      <c r="B472" t="s">
        <v>44</v>
      </c>
      <c r="C472" t="s">
        <v>22</v>
      </c>
      <c r="D472">
        <v>38681.26</v>
      </c>
      <c r="E472">
        <v>1</v>
      </c>
      <c r="F472">
        <v>38681.26</v>
      </c>
      <c r="G472" s="1">
        <v>45490</v>
      </c>
      <c r="H472" t="s">
        <v>42</v>
      </c>
      <c r="I472">
        <v>2</v>
      </c>
    </row>
    <row r="473" spans="1:9" x14ac:dyDescent="0.3">
      <c r="A473" t="s">
        <v>516</v>
      </c>
      <c r="B473" t="s">
        <v>24</v>
      </c>
      <c r="C473" t="s">
        <v>25</v>
      </c>
      <c r="D473">
        <v>29493.06</v>
      </c>
      <c r="E473">
        <v>3</v>
      </c>
      <c r="F473">
        <v>88479.18</v>
      </c>
      <c r="G473" s="1">
        <v>45497</v>
      </c>
      <c r="H473" t="s">
        <v>47</v>
      </c>
      <c r="I473">
        <v>4.2</v>
      </c>
    </row>
    <row r="474" spans="1:9" x14ac:dyDescent="0.3">
      <c r="A474" t="s">
        <v>517</v>
      </c>
      <c r="B474" t="s">
        <v>60</v>
      </c>
      <c r="C474" t="s">
        <v>25</v>
      </c>
      <c r="D474">
        <v>30009.200000000001</v>
      </c>
      <c r="E474">
        <v>2</v>
      </c>
      <c r="F474">
        <v>60018.400000000001</v>
      </c>
      <c r="G474" s="1">
        <v>45456</v>
      </c>
      <c r="H474" t="s">
        <v>12</v>
      </c>
      <c r="I474">
        <v>3</v>
      </c>
    </row>
    <row r="475" spans="1:9" x14ac:dyDescent="0.3">
      <c r="A475" t="s">
        <v>518</v>
      </c>
      <c r="B475" t="s">
        <v>54</v>
      </c>
      <c r="C475" t="s">
        <v>15</v>
      </c>
      <c r="D475">
        <v>23089.32</v>
      </c>
      <c r="E475">
        <v>2</v>
      </c>
      <c r="F475">
        <v>46178.64</v>
      </c>
      <c r="G475" s="1">
        <v>45564</v>
      </c>
      <c r="H475" t="s">
        <v>56</v>
      </c>
      <c r="I475">
        <v>3.1</v>
      </c>
    </row>
    <row r="476" spans="1:9" x14ac:dyDescent="0.3">
      <c r="A476" t="s">
        <v>519</v>
      </c>
      <c r="B476" t="s">
        <v>120</v>
      </c>
      <c r="C476" t="s">
        <v>25</v>
      </c>
      <c r="D476">
        <v>32460.13</v>
      </c>
      <c r="E476">
        <v>4</v>
      </c>
      <c r="F476">
        <v>129840.52</v>
      </c>
      <c r="G476" s="1">
        <v>45410</v>
      </c>
      <c r="H476" t="s">
        <v>47</v>
      </c>
      <c r="I476">
        <v>3.7</v>
      </c>
    </row>
    <row r="477" spans="1:9" x14ac:dyDescent="0.3">
      <c r="A477" t="s">
        <v>520</v>
      </c>
      <c r="B477" t="s">
        <v>21</v>
      </c>
      <c r="C477" t="s">
        <v>22</v>
      </c>
      <c r="D477">
        <v>29509.14</v>
      </c>
      <c r="E477">
        <v>3</v>
      </c>
      <c r="F477">
        <v>88527.42</v>
      </c>
      <c r="G477" s="1">
        <v>45641</v>
      </c>
      <c r="H477" t="s">
        <v>56</v>
      </c>
      <c r="I477">
        <v>4.0999999999999996</v>
      </c>
    </row>
    <row r="478" spans="1:9" x14ac:dyDescent="0.3">
      <c r="A478" t="s">
        <v>521</v>
      </c>
      <c r="B478" t="s">
        <v>10</v>
      </c>
      <c r="C478" t="s">
        <v>11</v>
      </c>
      <c r="D478">
        <v>5528.69</v>
      </c>
      <c r="E478">
        <v>3</v>
      </c>
      <c r="F478">
        <v>16586.07</v>
      </c>
      <c r="G478" s="1">
        <v>45546</v>
      </c>
      <c r="H478" t="s">
        <v>12</v>
      </c>
      <c r="I478">
        <v>4.2</v>
      </c>
    </row>
    <row r="479" spans="1:9" x14ac:dyDescent="0.3">
      <c r="A479" t="s">
        <v>522</v>
      </c>
      <c r="B479" t="s">
        <v>93</v>
      </c>
      <c r="C479" t="s">
        <v>11</v>
      </c>
      <c r="D479">
        <v>11864.67</v>
      </c>
      <c r="E479">
        <v>5</v>
      </c>
      <c r="F479">
        <v>59323.35</v>
      </c>
      <c r="G479" s="1">
        <v>45548</v>
      </c>
      <c r="H479" t="s">
        <v>56</v>
      </c>
      <c r="I479">
        <v>2.8</v>
      </c>
    </row>
    <row r="480" spans="1:9" x14ac:dyDescent="0.3">
      <c r="A480" t="s">
        <v>523</v>
      </c>
      <c r="B480" t="s">
        <v>120</v>
      </c>
      <c r="C480" t="s">
        <v>25</v>
      </c>
      <c r="D480">
        <v>14273.74</v>
      </c>
      <c r="E480">
        <v>2</v>
      </c>
      <c r="F480">
        <v>28547.48</v>
      </c>
      <c r="G480" s="1">
        <v>45645</v>
      </c>
      <c r="H480" t="s">
        <v>56</v>
      </c>
      <c r="I480">
        <v>3.8</v>
      </c>
    </row>
    <row r="481" spans="1:9" x14ac:dyDescent="0.3">
      <c r="A481" t="s">
        <v>524</v>
      </c>
      <c r="B481" t="s">
        <v>10</v>
      </c>
      <c r="C481" t="s">
        <v>11</v>
      </c>
      <c r="D481">
        <v>26806.06</v>
      </c>
      <c r="E481">
        <v>3</v>
      </c>
      <c r="F481">
        <v>80418.179999999993</v>
      </c>
      <c r="G481" s="1">
        <v>45492</v>
      </c>
      <c r="H481" t="s">
        <v>28</v>
      </c>
      <c r="I481">
        <v>4.3</v>
      </c>
    </row>
    <row r="482" spans="1:9" x14ac:dyDescent="0.3">
      <c r="A482" t="s">
        <v>525</v>
      </c>
      <c r="B482" t="s">
        <v>34</v>
      </c>
      <c r="C482" t="s">
        <v>15</v>
      </c>
      <c r="D482">
        <v>18757.07</v>
      </c>
      <c r="E482">
        <v>4</v>
      </c>
      <c r="F482">
        <v>75028.28</v>
      </c>
      <c r="G482" s="1">
        <v>45612</v>
      </c>
      <c r="H482" t="s">
        <v>16</v>
      </c>
      <c r="I482">
        <v>4.2</v>
      </c>
    </row>
    <row r="483" spans="1:9" x14ac:dyDescent="0.3">
      <c r="A483" t="s">
        <v>526</v>
      </c>
      <c r="B483" t="s">
        <v>100</v>
      </c>
      <c r="C483" t="s">
        <v>11</v>
      </c>
      <c r="D483">
        <v>19661.09</v>
      </c>
      <c r="E483">
        <v>4</v>
      </c>
      <c r="F483">
        <v>78644.36</v>
      </c>
      <c r="G483" s="1">
        <v>45444</v>
      </c>
      <c r="H483" t="s">
        <v>56</v>
      </c>
      <c r="I483">
        <v>2.5</v>
      </c>
    </row>
    <row r="484" spans="1:9" x14ac:dyDescent="0.3">
      <c r="A484" t="s">
        <v>527</v>
      </c>
      <c r="B484" t="s">
        <v>100</v>
      </c>
      <c r="C484" t="s">
        <v>11</v>
      </c>
      <c r="D484">
        <v>27434.25</v>
      </c>
      <c r="E484">
        <v>1</v>
      </c>
      <c r="F484">
        <v>27434.25</v>
      </c>
      <c r="G484" s="1">
        <v>45353</v>
      </c>
      <c r="H484" t="s">
        <v>42</v>
      </c>
      <c r="I484">
        <v>3.8</v>
      </c>
    </row>
    <row r="485" spans="1:9" x14ac:dyDescent="0.3">
      <c r="A485" t="s">
        <v>528</v>
      </c>
      <c r="B485" t="s">
        <v>10</v>
      </c>
      <c r="C485" t="s">
        <v>11</v>
      </c>
      <c r="D485">
        <v>6322.42</v>
      </c>
      <c r="E485">
        <v>4</v>
      </c>
      <c r="F485">
        <v>25289.68</v>
      </c>
      <c r="G485" s="1">
        <v>45534</v>
      </c>
      <c r="H485" t="s">
        <v>16</v>
      </c>
      <c r="I485">
        <v>4</v>
      </c>
    </row>
    <row r="486" spans="1:9" x14ac:dyDescent="0.3">
      <c r="A486" t="s">
        <v>529</v>
      </c>
      <c r="B486" t="s">
        <v>46</v>
      </c>
      <c r="C486" t="s">
        <v>11</v>
      </c>
      <c r="D486">
        <v>4316.82</v>
      </c>
      <c r="E486">
        <v>2</v>
      </c>
      <c r="F486">
        <v>8633.64</v>
      </c>
      <c r="G486" s="1">
        <v>45414</v>
      </c>
      <c r="H486" t="s">
        <v>47</v>
      </c>
      <c r="I486">
        <v>3.6</v>
      </c>
    </row>
    <row r="487" spans="1:9" x14ac:dyDescent="0.3">
      <c r="A487" t="s">
        <v>530</v>
      </c>
      <c r="B487" t="s">
        <v>151</v>
      </c>
      <c r="C487" t="s">
        <v>15</v>
      </c>
      <c r="D487">
        <v>45426.39</v>
      </c>
      <c r="E487">
        <v>4</v>
      </c>
      <c r="F487">
        <v>181705.56</v>
      </c>
      <c r="G487" s="1">
        <v>45596</v>
      </c>
      <c r="H487" t="s">
        <v>56</v>
      </c>
      <c r="I487">
        <v>2.8</v>
      </c>
    </row>
    <row r="488" spans="1:9" x14ac:dyDescent="0.3">
      <c r="A488" t="s">
        <v>531</v>
      </c>
      <c r="B488" t="s">
        <v>71</v>
      </c>
      <c r="C488" t="s">
        <v>22</v>
      </c>
      <c r="D488">
        <v>14971.45</v>
      </c>
      <c r="E488">
        <v>3</v>
      </c>
      <c r="F488">
        <v>44914.35</v>
      </c>
      <c r="G488" s="1">
        <v>45445</v>
      </c>
      <c r="H488" t="s">
        <v>16</v>
      </c>
      <c r="I488">
        <v>4.5</v>
      </c>
    </row>
    <row r="489" spans="1:9" x14ac:dyDescent="0.3">
      <c r="A489" t="s">
        <v>532</v>
      </c>
      <c r="B489" t="s">
        <v>60</v>
      </c>
      <c r="C489" t="s">
        <v>25</v>
      </c>
      <c r="D489">
        <v>12245.12</v>
      </c>
      <c r="E489">
        <v>2</v>
      </c>
      <c r="F489">
        <v>24490.240000000002</v>
      </c>
      <c r="G489" s="1">
        <v>45531</v>
      </c>
      <c r="H489" t="s">
        <v>42</v>
      </c>
      <c r="I489">
        <v>4.5</v>
      </c>
    </row>
    <row r="490" spans="1:9" x14ac:dyDescent="0.3">
      <c r="A490" t="s">
        <v>533</v>
      </c>
      <c r="B490" t="s">
        <v>50</v>
      </c>
      <c r="C490" t="s">
        <v>11</v>
      </c>
      <c r="D490">
        <v>48405.89</v>
      </c>
      <c r="E490">
        <v>4</v>
      </c>
      <c r="F490">
        <v>193623.56</v>
      </c>
      <c r="G490" s="1">
        <v>45382</v>
      </c>
      <c r="H490" t="s">
        <v>28</v>
      </c>
      <c r="I490">
        <v>4.9000000000000004</v>
      </c>
    </row>
    <row r="491" spans="1:9" x14ac:dyDescent="0.3">
      <c r="A491" t="s">
        <v>534</v>
      </c>
      <c r="B491" t="s">
        <v>69</v>
      </c>
      <c r="C491" t="s">
        <v>19</v>
      </c>
      <c r="D491">
        <v>12757.67</v>
      </c>
      <c r="E491">
        <v>5</v>
      </c>
      <c r="F491">
        <v>63788.35</v>
      </c>
      <c r="G491" s="1">
        <v>45615</v>
      </c>
      <c r="H491" t="s">
        <v>16</v>
      </c>
      <c r="I491">
        <v>3.3</v>
      </c>
    </row>
    <row r="492" spans="1:9" x14ac:dyDescent="0.3">
      <c r="A492" t="s">
        <v>535</v>
      </c>
      <c r="B492" t="s">
        <v>151</v>
      </c>
      <c r="C492" t="s">
        <v>15</v>
      </c>
      <c r="D492">
        <v>33071.089999999997</v>
      </c>
      <c r="E492">
        <v>2</v>
      </c>
      <c r="F492">
        <v>66142.179999999993</v>
      </c>
      <c r="G492" s="1">
        <v>45570</v>
      </c>
      <c r="H492" t="s">
        <v>42</v>
      </c>
      <c r="I492">
        <v>3.5</v>
      </c>
    </row>
    <row r="493" spans="1:9" x14ac:dyDescent="0.3">
      <c r="A493" t="s">
        <v>536</v>
      </c>
      <c r="B493" t="s">
        <v>69</v>
      </c>
      <c r="C493" t="s">
        <v>19</v>
      </c>
      <c r="D493">
        <v>4869.5600000000004</v>
      </c>
      <c r="E493">
        <v>1</v>
      </c>
      <c r="F493">
        <v>4869.5600000000004</v>
      </c>
      <c r="G493" s="1">
        <v>45386</v>
      </c>
      <c r="H493" t="s">
        <v>16</v>
      </c>
      <c r="I493">
        <v>1.9</v>
      </c>
    </row>
    <row r="494" spans="1:9" x14ac:dyDescent="0.3">
      <c r="A494" t="s">
        <v>537</v>
      </c>
      <c r="B494" t="s">
        <v>54</v>
      </c>
      <c r="C494" t="s">
        <v>15</v>
      </c>
      <c r="D494">
        <v>45127.31</v>
      </c>
      <c r="E494">
        <v>4</v>
      </c>
      <c r="F494">
        <v>180509.24</v>
      </c>
      <c r="G494" s="1">
        <v>45672</v>
      </c>
      <c r="H494" t="s">
        <v>42</v>
      </c>
      <c r="I494">
        <v>4.2</v>
      </c>
    </row>
    <row r="495" spans="1:9" x14ac:dyDescent="0.3">
      <c r="A495" t="s">
        <v>538</v>
      </c>
      <c r="B495" t="s">
        <v>60</v>
      </c>
      <c r="C495" t="s">
        <v>25</v>
      </c>
      <c r="D495">
        <v>8867.7199999999993</v>
      </c>
      <c r="E495">
        <v>1</v>
      </c>
      <c r="F495">
        <v>8867.7199999999993</v>
      </c>
      <c r="G495" s="1">
        <v>45566</v>
      </c>
      <c r="H495" t="s">
        <v>56</v>
      </c>
      <c r="I495">
        <v>4.3</v>
      </c>
    </row>
    <row r="496" spans="1:9" x14ac:dyDescent="0.3">
      <c r="A496" t="s">
        <v>539</v>
      </c>
      <c r="B496" t="s">
        <v>24</v>
      </c>
      <c r="C496" t="s">
        <v>25</v>
      </c>
      <c r="D496">
        <v>31749.94</v>
      </c>
      <c r="E496">
        <v>1</v>
      </c>
      <c r="F496">
        <v>31749.94</v>
      </c>
      <c r="G496" s="1">
        <v>45437</v>
      </c>
      <c r="H496" t="s">
        <v>42</v>
      </c>
      <c r="I496">
        <v>3.1</v>
      </c>
    </row>
    <row r="497" spans="1:9" x14ac:dyDescent="0.3">
      <c r="A497" t="s">
        <v>540</v>
      </c>
      <c r="B497" t="s">
        <v>75</v>
      </c>
      <c r="C497" t="s">
        <v>19</v>
      </c>
      <c r="D497">
        <v>40944.769999999997</v>
      </c>
      <c r="E497">
        <v>2</v>
      </c>
      <c r="F497">
        <v>81889.539999999994</v>
      </c>
      <c r="G497" s="1">
        <v>45599</v>
      </c>
      <c r="H497" t="s">
        <v>47</v>
      </c>
      <c r="I497">
        <v>2.9</v>
      </c>
    </row>
    <row r="498" spans="1:9" x14ac:dyDescent="0.3">
      <c r="A498" t="s">
        <v>541</v>
      </c>
      <c r="B498" t="s">
        <v>32</v>
      </c>
      <c r="C498" t="s">
        <v>25</v>
      </c>
      <c r="D498">
        <v>20859.61</v>
      </c>
      <c r="E498">
        <v>4</v>
      </c>
      <c r="F498">
        <v>83438.44</v>
      </c>
      <c r="G498" s="1">
        <v>45406</v>
      </c>
      <c r="H498" t="s">
        <v>28</v>
      </c>
      <c r="I498">
        <v>4.9000000000000004</v>
      </c>
    </row>
    <row r="499" spans="1:9" x14ac:dyDescent="0.3">
      <c r="A499" t="s">
        <v>542</v>
      </c>
      <c r="B499" t="s">
        <v>10</v>
      </c>
      <c r="C499" t="s">
        <v>11</v>
      </c>
      <c r="D499">
        <v>6884.74</v>
      </c>
      <c r="E499">
        <v>5</v>
      </c>
      <c r="F499">
        <v>34423.699999999997</v>
      </c>
      <c r="G499" s="1">
        <v>45516</v>
      </c>
      <c r="H499" t="s">
        <v>56</v>
      </c>
      <c r="I499">
        <v>1.4</v>
      </c>
    </row>
    <row r="500" spans="1:9" x14ac:dyDescent="0.3">
      <c r="A500" t="s">
        <v>543</v>
      </c>
      <c r="B500" t="s">
        <v>14</v>
      </c>
      <c r="C500" t="s">
        <v>15</v>
      </c>
      <c r="D500">
        <v>40238.5</v>
      </c>
      <c r="E500">
        <v>3</v>
      </c>
      <c r="F500">
        <v>120715.5</v>
      </c>
      <c r="G500" s="1">
        <v>45494</v>
      </c>
      <c r="H500" t="s">
        <v>28</v>
      </c>
      <c r="I500">
        <v>3.9</v>
      </c>
    </row>
    <row r="501" spans="1:9" x14ac:dyDescent="0.3">
      <c r="A501" t="s">
        <v>544</v>
      </c>
      <c r="B501" t="s">
        <v>44</v>
      </c>
      <c r="C501" t="s">
        <v>22</v>
      </c>
      <c r="D501">
        <v>10422.280000000001</v>
      </c>
      <c r="E501">
        <v>5</v>
      </c>
      <c r="F501">
        <v>52111.4</v>
      </c>
      <c r="G501" s="1">
        <v>45469</v>
      </c>
      <c r="H501" t="s">
        <v>56</v>
      </c>
      <c r="I501">
        <v>3.5</v>
      </c>
    </row>
    <row r="502" spans="1:9" x14ac:dyDescent="0.3">
      <c r="A502" t="s">
        <v>545</v>
      </c>
      <c r="B502" t="s">
        <v>100</v>
      </c>
      <c r="C502" t="s">
        <v>11</v>
      </c>
      <c r="D502">
        <v>13862.56</v>
      </c>
      <c r="E502">
        <v>1</v>
      </c>
      <c r="F502">
        <v>13862.56</v>
      </c>
      <c r="G502" s="1">
        <v>45657</v>
      </c>
      <c r="H502" t="s">
        <v>28</v>
      </c>
      <c r="I502">
        <v>1.6</v>
      </c>
    </row>
    <row r="503" spans="1:9" x14ac:dyDescent="0.3">
      <c r="A503" t="s">
        <v>546</v>
      </c>
      <c r="B503" t="s">
        <v>18</v>
      </c>
      <c r="C503" t="s">
        <v>19</v>
      </c>
      <c r="D503">
        <v>35911.22</v>
      </c>
      <c r="E503">
        <v>4</v>
      </c>
      <c r="F503">
        <v>143644.88</v>
      </c>
      <c r="G503" s="1">
        <v>45547</v>
      </c>
      <c r="H503" t="s">
        <v>47</v>
      </c>
      <c r="I503">
        <v>4.0999999999999996</v>
      </c>
    </row>
    <row r="504" spans="1:9" x14ac:dyDescent="0.3">
      <c r="A504" t="s">
        <v>547</v>
      </c>
      <c r="B504" t="s">
        <v>34</v>
      </c>
      <c r="C504" t="s">
        <v>15</v>
      </c>
      <c r="D504">
        <v>16523.689999999999</v>
      </c>
      <c r="E504">
        <v>3</v>
      </c>
      <c r="F504">
        <v>49571.07</v>
      </c>
      <c r="G504" s="1">
        <v>45521</v>
      </c>
      <c r="H504" t="s">
        <v>47</v>
      </c>
      <c r="I504">
        <v>2.8</v>
      </c>
    </row>
    <row r="505" spans="1:9" x14ac:dyDescent="0.3">
      <c r="A505" t="s">
        <v>548</v>
      </c>
      <c r="B505" t="s">
        <v>40</v>
      </c>
      <c r="C505" t="s">
        <v>19</v>
      </c>
      <c r="D505">
        <v>6566.03</v>
      </c>
      <c r="E505">
        <v>5</v>
      </c>
      <c r="F505">
        <v>32830.15</v>
      </c>
      <c r="G505" s="1">
        <v>45402</v>
      </c>
      <c r="H505" t="s">
        <v>42</v>
      </c>
      <c r="I505">
        <v>2.6</v>
      </c>
    </row>
    <row r="506" spans="1:9" x14ac:dyDescent="0.3">
      <c r="A506" t="s">
        <v>549</v>
      </c>
      <c r="B506" t="s">
        <v>60</v>
      </c>
      <c r="C506" t="s">
        <v>25</v>
      </c>
      <c r="D506">
        <v>18799.05</v>
      </c>
      <c r="E506">
        <v>3</v>
      </c>
      <c r="F506">
        <v>56397.15</v>
      </c>
      <c r="G506" s="1">
        <v>45689</v>
      </c>
      <c r="H506" t="s">
        <v>16</v>
      </c>
      <c r="I506">
        <v>4.3</v>
      </c>
    </row>
    <row r="507" spans="1:9" x14ac:dyDescent="0.3">
      <c r="A507" t="s">
        <v>550</v>
      </c>
      <c r="B507" t="s">
        <v>82</v>
      </c>
      <c r="C507" t="s">
        <v>22</v>
      </c>
      <c r="D507">
        <v>8436.7099999999991</v>
      </c>
      <c r="E507">
        <v>5</v>
      </c>
      <c r="F507">
        <v>42183.55</v>
      </c>
      <c r="G507" s="1">
        <v>45395</v>
      </c>
      <c r="H507" t="s">
        <v>28</v>
      </c>
      <c r="I507">
        <v>4.9000000000000004</v>
      </c>
    </row>
    <row r="508" spans="1:9" x14ac:dyDescent="0.3">
      <c r="A508" t="s">
        <v>551</v>
      </c>
      <c r="B508" t="s">
        <v>24</v>
      </c>
      <c r="C508" t="s">
        <v>25</v>
      </c>
      <c r="D508">
        <v>19380.5</v>
      </c>
      <c r="E508">
        <v>4</v>
      </c>
      <c r="F508">
        <v>77522</v>
      </c>
      <c r="G508" s="1">
        <v>45466</v>
      </c>
      <c r="H508" t="s">
        <v>16</v>
      </c>
      <c r="I508">
        <v>3.3</v>
      </c>
    </row>
    <row r="509" spans="1:9" x14ac:dyDescent="0.3">
      <c r="A509" t="s">
        <v>552</v>
      </c>
      <c r="B509" t="s">
        <v>40</v>
      </c>
      <c r="C509" t="s">
        <v>19</v>
      </c>
      <c r="D509">
        <v>20228.05</v>
      </c>
      <c r="E509">
        <v>3</v>
      </c>
      <c r="F509">
        <v>60684.15</v>
      </c>
      <c r="G509" s="1">
        <v>45689</v>
      </c>
      <c r="H509" t="s">
        <v>16</v>
      </c>
      <c r="I509">
        <v>1.2</v>
      </c>
    </row>
    <row r="510" spans="1:9" x14ac:dyDescent="0.3">
      <c r="A510" t="s">
        <v>553</v>
      </c>
      <c r="B510" t="s">
        <v>71</v>
      </c>
      <c r="C510" t="s">
        <v>22</v>
      </c>
      <c r="D510">
        <v>28606.86</v>
      </c>
      <c r="E510">
        <v>5</v>
      </c>
      <c r="F510">
        <v>143034.29999999999</v>
      </c>
      <c r="G510" s="1">
        <v>45520</v>
      </c>
      <c r="H510" t="s">
        <v>16</v>
      </c>
      <c r="I510">
        <v>4.8</v>
      </c>
    </row>
    <row r="511" spans="1:9" x14ac:dyDescent="0.3">
      <c r="A511" t="s">
        <v>554</v>
      </c>
      <c r="B511" t="s">
        <v>93</v>
      </c>
      <c r="C511" t="s">
        <v>11</v>
      </c>
      <c r="D511">
        <v>16803.759999999998</v>
      </c>
      <c r="E511">
        <v>4</v>
      </c>
      <c r="F511">
        <v>67215.039999999994</v>
      </c>
      <c r="G511" s="1">
        <v>45438</v>
      </c>
      <c r="H511" t="s">
        <v>28</v>
      </c>
      <c r="I511">
        <v>4</v>
      </c>
    </row>
    <row r="512" spans="1:9" x14ac:dyDescent="0.3">
      <c r="A512" t="s">
        <v>555</v>
      </c>
      <c r="B512" t="s">
        <v>18</v>
      </c>
      <c r="C512" t="s">
        <v>19</v>
      </c>
      <c r="D512">
        <v>18093.34</v>
      </c>
      <c r="E512">
        <v>5</v>
      </c>
      <c r="F512">
        <v>90466.7</v>
      </c>
      <c r="G512" s="1">
        <v>45678</v>
      </c>
      <c r="H512" t="s">
        <v>47</v>
      </c>
      <c r="I512">
        <v>4.2</v>
      </c>
    </row>
    <row r="513" spans="1:9" x14ac:dyDescent="0.3">
      <c r="A513" t="s">
        <v>556</v>
      </c>
      <c r="B513" t="s">
        <v>36</v>
      </c>
      <c r="C513" t="s">
        <v>22</v>
      </c>
      <c r="D513">
        <v>31737.13</v>
      </c>
      <c r="E513">
        <v>5</v>
      </c>
      <c r="F513">
        <v>158685.65</v>
      </c>
      <c r="G513" s="1">
        <v>45394</v>
      </c>
      <c r="H513" t="s">
        <v>56</v>
      </c>
      <c r="I513">
        <v>4</v>
      </c>
    </row>
    <row r="514" spans="1:9" x14ac:dyDescent="0.3">
      <c r="A514" t="s">
        <v>557</v>
      </c>
      <c r="B514" t="s">
        <v>40</v>
      </c>
      <c r="C514" t="s">
        <v>19</v>
      </c>
      <c r="D514">
        <v>49861.17</v>
      </c>
      <c r="E514">
        <v>3</v>
      </c>
      <c r="F514">
        <v>149583.51</v>
      </c>
      <c r="G514" s="1">
        <v>45559</v>
      </c>
      <c r="H514" t="s">
        <v>16</v>
      </c>
      <c r="I514">
        <v>2.5</v>
      </c>
    </row>
    <row r="515" spans="1:9" x14ac:dyDescent="0.3">
      <c r="A515" t="s">
        <v>558</v>
      </c>
      <c r="B515" t="s">
        <v>10</v>
      </c>
      <c r="C515" t="s">
        <v>11</v>
      </c>
      <c r="D515">
        <v>21233.35</v>
      </c>
      <c r="E515">
        <v>1</v>
      </c>
      <c r="F515">
        <v>21233.35</v>
      </c>
      <c r="G515" s="1">
        <v>45537</v>
      </c>
      <c r="H515" t="s">
        <v>42</v>
      </c>
      <c r="I515">
        <v>1.7</v>
      </c>
    </row>
    <row r="516" spans="1:9" x14ac:dyDescent="0.3">
      <c r="A516" t="s">
        <v>559</v>
      </c>
      <c r="B516" t="s">
        <v>120</v>
      </c>
      <c r="C516" t="s">
        <v>25</v>
      </c>
      <c r="D516">
        <v>776.91</v>
      </c>
      <c r="E516">
        <v>5</v>
      </c>
      <c r="F516">
        <v>3884.55</v>
      </c>
      <c r="G516" s="1">
        <v>45489</v>
      </c>
      <c r="H516" t="s">
        <v>42</v>
      </c>
      <c r="I516">
        <v>4.2</v>
      </c>
    </row>
    <row r="517" spans="1:9" x14ac:dyDescent="0.3">
      <c r="A517" t="s">
        <v>560</v>
      </c>
      <c r="B517" t="s">
        <v>40</v>
      </c>
      <c r="C517" t="s">
        <v>19</v>
      </c>
      <c r="D517">
        <v>25542.71</v>
      </c>
      <c r="E517">
        <v>1</v>
      </c>
      <c r="F517">
        <v>25542.71</v>
      </c>
      <c r="G517" s="1">
        <v>45640</v>
      </c>
      <c r="H517" t="s">
        <v>16</v>
      </c>
      <c r="I517">
        <v>2.2000000000000002</v>
      </c>
    </row>
    <row r="518" spans="1:9" x14ac:dyDescent="0.3">
      <c r="A518" t="s">
        <v>561</v>
      </c>
      <c r="B518" t="s">
        <v>30</v>
      </c>
      <c r="C518" t="s">
        <v>15</v>
      </c>
      <c r="D518">
        <v>10818.28</v>
      </c>
      <c r="E518">
        <v>5</v>
      </c>
      <c r="F518">
        <v>54091.4</v>
      </c>
      <c r="G518" s="1">
        <v>45495</v>
      </c>
      <c r="H518" t="s">
        <v>16</v>
      </c>
      <c r="I518">
        <v>1.6</v>
      </c>
    </row>
    <row r="519" spans="1:9" x14ac:dyDescent="0.3">
      <c r="A519" t="s">
        <v>562</v>
      </c>
      <c r="B519" t="s">
        <v>36</v>
      </c>
      <c r="C519" t="s">
        <v>22</v>
      </c>
      <c r="D519">
        <v>45801.19</v>
      </c>
      <c r="E519">
        <v>5</v>
      </c>
      <c r="F519">
        <v>229005.95</v>
      </c>
      <c r="G519" s="1">
        <v>45589</v>
      </c>
      <c r="H519" t="s">
        <v>47</v>
      </c>
      <c r="I519">
        <v>2.4</v>
      </c>
    </row>
    <row r="520" spans="1:9" x14ac:dyDescent="0.3">
      <c r="A520" t="s">
        <v>563</v>
      </c>
      <c r="B520" t="s">
        <v>18</v>
      </c>
      <c r="C520" t="s">
        <v>19</v>
      </c>
      <c r="D520">
        <v>6963.56</v>
      </c>
      <c r="E520">
        <v>2</v>
      </c>
      <c r="F520">
        <v>13927.12</v>
      </c>
      <c r="G520" s="1">
        <v>45632</v>
      </c>
      <c r="H520" t="s">
        <v>12</v>
      </c>
      <c r="I520">
        <v>3.3</v>
      </c>
    </row>
    <row r="521" spans="1:9" x14ac:dyDescent="0.3">
      <c r="A521" t="s">
        <v>564</v>
      </c>
      <c r="B521" t="s">
        <v>44</v>
      </c>
      <c r="C521" t="s">
        <v>22</v>
      </c>
      <c r="D521">
        <v>37082.11</v>
      </c>
      <c r="E521">
        <v>1</v>
      </c>
      <c r="F521">
        <v>37082.11</v>
      </c>
      <c r="G521" s="1">
        <v>45455</v>
      </c>
      <c r="H521" t="s">
        <v>16</v>
      </c>
      <c r="I521">
        <v>4.4000000000000004</v>
      </c>
    </row>
    <row r="522" spans="1:9" x14ac:dyDescent="0.3">
      <c r="A522" t="s">
        <v>565</v>
      </c>
      <c r="B522" t="s">
        <v>50</v>
      </c>
      <c r="C522" t="s">
        <v>11</v>
      </c>
      <c r="D522">
        <v>6842.69</v>
      </c>
      <c r="E522">
        <v>1</v>
      </c>
      <c r="F522">
        <v>6842.69</v>
      </c>
      <c r="G522" s="1">
        <v>45447</v>
      </c>
      <c r="H522" t="s">
        <v>16</v>
      </c>
      <c r="I522">
        <v>3.6</v>
      </c>
    </row>
    <row r="523" spans="1:9" x14ac:dyDescent="0.3">
      <c r="A523" t="s">
        <v>566</v>
      </c>
      <c r="B523" t="s">
        <v>38</v>
      </c>
      <c r="C523" t="s">
        <v>19</v>
      </c>
      <c r="D523">
        <v>7283.96</v>
      </c>
      <c r="E523">
        <v>1</v>
      </c>
      <c r="F523">
        <v>7283.96</v>
      </c>
      <c r="G523" s="1">
        <v>45390</v>
      </c>
      <c r="H523" t="s">
        <v>42</v>
      </c>
      <c r="I523">
        <v>2</v>
      </c>
    </row>
    <row r="524" spans="1:9" x14ac:dyDescent="0.3">
      <c r="A524" t="s">
        <v>567</v>
      </c>
      <c r="B524" t="s">
        <v>24</v>
      </c>
      <c r="C524" t="s">
        <v>25</v>
      </c>
      <c r="D524">
        <v>218.58</v>
      </c>
      <c r="E524">
        <v>5</v>
      </c>
      <c r="F524">
        <v>1092.9000000000001</v>
      </c>
      <c r="G524" s="1">
        <v>45402</v>
      </c>
      <c r="H524" t="s">
        <v>28</v>
      </c>
      <c r="I524">
        <v>4.8</v>
      </c>
    </row>
    <row r="525" spans="1:9" x14ac:dyDescent="0.3">
      <c r="A525" t="s">
        <v>568</v>
      </c>
      <c r="B525" t="s">
        <v>71</v>
      </c>
      <c r="C525" t="s">
        <v>22</v>
      </c>
      <c r="D525">
        <v>38689.699999999997</v>
      </c>
      <c r="E525">
        <v>3</v>
      </c>
      <c r="F525">
        <v>116069.1</v>
      </c>
      <c r="G525" s="1">
        <v>45563</v>
      </c>
      <c r="H525" t="s">
        <v>12</v>
      </c>
      <c r="I525">
        <v>1.9</v>
      </c>
    </row>
    <row r="526" spans="1:9" x14ac:dyDescent="0.3">
      <c r="A526" t="s">
        <v>569</v>
      </c>
      <c r="B526" t="s">
        <v>32</v>
      </c>
      <c r="C526" t="s">
        <v>25</v>
      </c>
      <c r="D526">
        <v>8863.9699999999993</v>
      </c>
      <c r="E526">
        <v>2</v>
      </c>
      <c r="F526">
        <v>17727.939999999999</v>
      </c>
      <c r="G526" s="1">
        <v>45561</v>
      </c>
      <c r="H526" t="s">
        <v>16</v>
      </c>
      <c r="I526">
        <v>4.5</v>
      </c>
    </row>
    <row r="527" spans="1:9" x14ac:dyDescent="0.3">
      <c r="A527" t="s">
        <v>570</v>
      </c>
      <c r="B527" t="s">
        <v>30</v>
      </c>
      <c r="C527" t="s">
        <v>15</v>
      </c>
      <c r="D527">
        <v>12472.17</v>
      </c>
      <c r="E527">
        <v>5</v>
      </c>
      <c r="F527">
        <v>62360.85</v>
      </c>
      <c r="G527" s="1">
        <v>45405</v>
      </c>
      <c r="H527" t="s">
        <v>16</v>
      </c>
      <c r="I527">
        <v>1.9</v>
      </c>
    </row>
    <row r="528" spans="1:9" x14ac:dyDescent="0.3">
      <c r="A528" t="s">
        <v>571</v>
      </c>
      <c r="B528" t="s">
        <v>14</v>
      </c>
      <c r="C528" t="s">
        <v>15</v>
      </c>
      <c r="D528">
        <v>8734.44</v>
      </c>
      <c r="E528">
        <v>1</v>
      </c>
      <c r="F528">
        <v>8734.44</v>
      </c>
      <c r="G528" s="1">
        <v>45591</v>
      </c>
      <c r="H528" t="s">
        <v>12</v>
      </c>
      <c r="I528">
        <v>2.5</v>
      </c>
    </row>
    <row r="529" spans="1:9" x14ac:dyDescent="0.3">
      <c r="A529" t="s">
        <v>572</v>
      </c>
      <c r="B529" t="s">
        <v>38</v>
      </c>
      <c r="C529" t="s">
        <v>19</v>
      </c>
      <c r="D529">
        <v>32422.04</v>
      </c>
      <c r="E529">
        <v>5</v>
      </c>
      <c r="F529">
        <v>162110.20000000001</v>
      </c>
      <c r="G529" s="1">
        <v>45340</v>
      </c>
      <c r="H529" t="s">
        <v>56</v>
      </c>
      <c r="I529">
        <v>1.9</v>
      </c>
    </row>
    <row r="530" spans="1:9" x14ac:dyDescent="0.3">
      <c r="A530" t="s">
        <v>573</v>
      </c>
      <c r="B530" t="s">
        <v>71</v>
      </c>
      <c r="C530" t="s">
        <v>22</v>
      </c>
      <c r="D530">
        <v>45532.34</v>
      </c>
      <c r="E530">
        <v>5</v>
      </c>
      <c r="F530">
        <v>227661.7</v>
      </c>
      <c r="G530" s="1">
        <v>45410</v>
      </c>
      <c r="H530" t="s">
        <v>47</v>
      </c>
      <c r="I530">
        <v>3.6</v>
      </c>
    </row>
    <row r="531" spans="1:9" x14ac:dyDescent="0.3">
      <c r="A531" t="s">
        <v>574</v>
      </c>
      <c r="B531" t="s">
        <v>18</v>
      </c>
      <c r="C531" t="s">
        <v>19</v>
      </c>
      <c r="D531">
        <v>22534.799999999999</v>
      </c>
      <c r="E531">
        <v>4</v>
      </c>
      <c r="F531">
        <v>90139.199999999997</v>
      </c>
      <c r="G531" s="1">
        <v>45534</v>
      </c>
      <c r="H531" t="s">
        <v>42</v>
      </c>
      <c r="I531">
        <v>1.4</v>
      </c>
    </row>
    <row r="532" spans="1:9" x14ac:dyDescent="0.3">
      <c r="A532" t="s">
        <v>575</v>
      </c>
      <c r="B532" t="s">
        <v>100</v>
      </c>
      <c r="C532" t="s">
        <v>11</v>
      </c>
      <c r="D532">
        <v>26058.55</v>
      </c>
      <c r="E532">
        <v>1</v>
      </c>
      <c r="F532">
        <v>26058.55</v>
      </c>
      <c r="G532" s="1">
        <v>45593</v>
      </c>
      <c r="H532" t="s">
        <v>16</v>
      </c>
      <c r="I532">
        <v>2</v>
      </c>
    </row>
    <row r="533" spans="1:9" x14ac:dyDescent="0.3">
      <c r="A533" t="s">
        <v>576</v>
      </c>
      <c r="B533" t="s">
        <v>60</v>
      </c>
      <c r="C533" t="s">
        <v>25</v>
      </c>
      <c r="D533">
        <v>13348.84</v>
      </c>
      <c r="E533">
        <v>2</v>
      </c>
      <c r="F533">
        <v>26697.68</v>
      </c>
      <c r="G533" s="1">
        <v>45500</v>
      </c>
      <c r="H533" t="s">
        <v>42</v>
      </c>
      <c r="I533">
        <v>4.2</v>
      </c>
    </row>
    <row r="534" spans="1:9" x14ac:dyDescent="0.3">
      <c r="A534" t="s">
        <v>577</v>
      </c>
      <c r="B534" t="s">
        <v>32</v>
      </c>
      <c r="C534" t="s">
        <v>25</v>
      </c>
      <c r="D534">
        <v>46792.3</v>
      </c>
      <c r="E534">
        <v>1</v>
      </c>
      <c r="F534">
        <v>46792.3</v>
      </c>
      <c r="G534" s="1">
        <v>45459</v>
      </c>
      <c r="H534" t="s">
        <v>47</v>
      </c>
      <c r="I534">
        <v>4.9000000000000004</v>
      </c>
    </row>
    <row r="535" spans="1:9" x14ac:dyDescent="0.3">
      <c r="A535" t="s">
        <v>578</v>
      </c>
      <c r="B535" t="s">
        <v>120</v>
      </c>
      <c r="C535" t="s">
        <v>25</v>
      </c>
      <c r="D535">
        <v>15764.25</v>
      </c>
      <c r="E535">
        <v>4</v>
      </c>
      <c r="F535">
        <v>63057</v>
      </c>
      <c r="G535" s="1">
        <v>45424</v>
      </c>
      <c r="H535" t="s">
        <v>42</v>
      </c>
      <c r="I535">
        <v>4</v>
      </c>
    </row>
    <row r="536" spans="1:9" x14ac:dyDescent="0.3">
      <c r="A536" t="s">
        <v>579</v>
      </c>
      <c r="B536" t="s">
        <v>21</v>
      </c>
      <c r="C536" t="s">
        <v>22</v>
      </c>
      <c r="D536">
        <v>45019</v>
      </c>
      <c r="E536">
        <v>5</v>
      </c>
      <c r="F536">
        <v>225095</v>
      </c>
      <c r="G536" s="1">
        <v>45664</v>
      </c>
      <c r="H536" t="s">
        <v>42</v>
      </c>
      <c r="I536">
        <v>4.7</v>
      </c>
    </row>
    <row r="537" spans="1:9" x14ac:dyDescent="0.3">
      <c r="A537" t="s">
        <v>580</v>
      </c>
      <c r="B537" t="s">
        <v>151</v>
      </c>
      <c r="C537" t="s">
        <v>15</v>
      </c>
      <c r="D537">
        <v>42794.400000000001</v>
      </c>
      <c r="E537">
        <v>4</v>
      </c>
      <c r="F537">
        <v>171177.60000000001</v>
      </c>
      <c r="G537" s="1">
        <v>45468</v>
      </c>
      <c r="H537" t="s">
        <v>42</v>
      </c>
      <c r="I537">
        <v>4.5999999999999996</v>
      </c>
    </row>
    <row r="538" spans="1:9" x14ac:dyDescent="0.3">
      <c r="A538" t="s">
        <v>581</v>
      </c>
      <c r="B538" t="s">
        <v>10</v>
      </c>
      <c r="C538" t="s">
        <v>11</v>
      </c>
      <c r="D538">
        <v>492.53</v>
      </c>
      <c r="E538">
        <v>1</v>
      </c>
      <c r="F538">
        <v>492.53</v>
      </c>
      <c r="G538" s="1">
        <v>45397</v>
      </c>
      <c r="H538" t="s">
        <v>47</v>
      </c>
      <c r="I538">
        <v>4.4000000000000004</v>
      </c>
    </row>
    <row r="539" spans="1:9" x14ac:dyDescent="0.3">
      <c r="A539" t="s">
        <v>582</v>
      </c>
      <c r="B539" t="s">
        <v>120</v>
      </c>
      <c r="C539" t="s">
        <v>25</v>
      </c>
      <c r="D539">
        <v>30721.51</v>
      </c>
      <c r="E539">
        <v>4</v>
      </c>
      <c r="F539">
        <v>122886.04</v>
      </c>
      <c r="G539" s="1">
        <v>45501</v>
      </c>
      <c r="H539" t="s">
        <v>28</v>
      </c>
      <c r="I539">
        <v>3.4</v>
      </c>
    </row>
    <row r="540" spans="1:9" x14ac:dyDescent="0.3">
      <c r="A540" t="s">
        <v>583</v>
      </c>
      <c r="B540" t="s">
        <v>24</v>
      </c>
      <c r="C540" t="s">
        <v>25</v>
      </c>
      <c r="D540">
        <v>17162.64</v>
      </c>
      <c r="E540">
        <v>3</v>
      </c>
      <c r="F540">
        <v>51487.92</v>
      </c>
      <c r="G540" s="1">
        <v>45485</v>
      </c>
      <c r="H540" t="s">
        <v>42</v>
      </c>
      <c r="I540">
        <v>4.7</v>
      </c>
    </row>
    <row r="541" spans="1:9" x14ac:dyDescent="0.3">
      <c r="A541" t="s">
        <v>584</v>
      </c>
      <c r="B541" t="s">
        <v>50</v>
      </c>
      <c r="C541" t="s">
        <v>11</v>
      </c>
      <c r="D541">
        <v>45888.54</v>
      </c>
      <c r="E541">
        <v>3</v>
      </c>
      <c r="F541">
        <v>137665.62</v>
      </c>
      <c r="G541" s="1">
        <v>45390</v>
      </c>
      <c r="H541" t="s">
        <v>47</v>
      </c>
      <c r="I541">
        <v>2</v>
      </c>
    </row>
    <row r="542" spans="1:9" x14ac:dyDescent="0.3">
      <c r="A542" t="s">
        <v>585</v>
      </c>
      <c r="B542" t="s">
        <v>32</v>
      </c>
      <c r="C542" t="s">
        <v>25</v>
      </c>
      <c r="D542">
        <v>49052.43</v>
      </c>
      <c r="E542">
        <v>3</v>
      </c>
      <c r="F542">
        <v>147157.29</v>
      </c>
      <c r="G542" s="1">
        <v>45628</v>
      </c>
      <c r="H542" t="s">
        <v>12</v>
      </c>
      <c r="I542">
        <v>4.5</v>
      </c>
    </row>
    <row r="543" spans="1:9" x14ac:dyDescent="0.3">
      <c r="A543" t="s">
        <v>586</v>
      </c>
      <c r="B543" t="s">
        <v>120</v>
      </c>
      <c r="C543" t="s">
        <v>25</v>
      </c>
      <c r="D543">
        <v>2435.9699999999998</v>
      </c>
      <c r="E543">
        <v>1</v>
      </c>
      <c r="F543">
        <v>2435.9699999999998</v>
      </c>
      <c r="G543" s="1">
        <v>45381</v>
      </c>
      <c r="H543" t="s">
        <v>47</v>
      </c>
      <c r="I543">
        <v>2.2999999999999998</v>
      </c>
    </row>
    <row r="544" spans="1:9" x14ac:dyDescent="0.3">
      <c r="A544" t="s">
        <v>587</v>
      </c>
      <c r="B544" t="s">
        <v>32</v>
      </c>
      <c r="C544" t="s">
        <v>25</v>
      </c>
      <c r="D544">
        <v>48128.02</v>
      </c>
      <c r="E544">
        <v>4</v>
      </c>
      <c r="F544">
        <v>192512.08</v>
      </c>
      <c r="G544" s="1">
        <v>45425</v>
      </c>
      <c r="H544" t="s">
        <v>28</v>
      </c>
      <c r="I544">
        <v>3.2</v>
      </c>
    </row>
    <row r="545" spans="1:9" x14ac:dyDescent="0.3">
      <c r="A545" t="s">
        <v>588</v>
      </c>
      <c r="B545" t="s">
        <v>38</v>
      </c>
      <c r="C545" t="s">
        <v>19</v>
      </c>
      <c r="D545">
        <v>47111.56</v>
      </c>
      <c r="E545">
        <v>5</v>
      </c>
      <c r="F545">
        <v>235557.8</v>
      </c>
      <c r="G545" s="1">
        <v>45412</v>
      </c>
      <c r="H545" t="s">
        <v>16</v>
      </c>
      <c r="I545">
        <v>2.9</v>
      </c>
    </row>
    <row r="546" spans="1:9" x14ac:dyDescent="0.3">
      <c r="A546" t="s">
        <v>589</v>
      </c>
      <c r="B546" t="s">
        <v>10</v>
      </c>
      <c r="C546" t="s">
        <v>11</v>
      </c>
      <c r="D546">
        <v>8091.3</v>
      </c>
      <c r="E546">
        <v>5</v>
      </c>
      <c r="F546">
        <v>40456.5</v>
      </c>
      <c r="G546" s="1">
        <v>45518</v>
      </c>
      <c r="H546" t="s">
        <v>47</v>
      </c>
      <c r="I546">
        <v>2</v>
      </c>
    </row>
    <row r="547" spans="1:9" x14ac:dyDescent="0.3">
      <c r="A547" t="s">
        <v>590</v>
      </c>
      <c r="B547" t="s">
        <v>60</v>
      </c>
      <c r="C547" t="s">
        <v>25</v>
      </c>
      <c r="D547">
        <v>43217.1</v>
      </c>
      <c r="E547">
        <v>5</v>
      </c>
      <c r="F547">
        <v>216085.5</v>
      </c>
      <c r="G547" s="1">
        <v>45644</v>
      </c>
      <c r="H547" t="s">
        <v>12</v>
      </c>
      <c r="I547">
        <v>2.6</v>
      </c>
    </row>
    <row r="548" spans="1:9" x14ac:dyDescent="0.3">
      <c r="A548" t="s">
        <v>591</v>
      </c>
      <c r="B548" t="s">
        <v>34</v>
      </c>
      <c r="C548" t="s">
        <v>15</v>
      </c>
      <c r="D548">
        <v>35592.76</v>
      </c>
      <c r="E548">
        <v>2</v>
      </c>
      <c r="F548">
        <v>71185.52</v>
      </c>
      <c r="G548" s="1">
        <v>45418</v>
      </c>
      <c r="H548" t="s">
        <v>12</v>
      </c>
      <c r="I548">
        <v>4.5999999999999996</v>
      </c>
    </row>
    <row r="549" spans="1:9" x14ac:dyDescent="0.3">
      <c r="A549" t="s">
        <v>592</v>
      </c>
      <c r="B549" t="s">
        <v>69</v>
      </c>
      <c r="C549" t="s">
        <v>19</v>
      </c>
      <c r="D549">
        <v>9534.89</v>
      </c>
      <c r="E549">
        <v>5</v>
      </c>
      <c r="F549">
        <v>47674.45</v>
      </c>
      <c r="G549" s="1">
        <v>45487</v>
      </c>
      <c r="H549" t="s">
        <v>56</v>
      </c>
      <c r="I549">
        <v>4.2</v>
      </c>
    </row>
    <row r="550" spans="1:9" x14ac:dyDescent="0.3">
      <c r="A550" t="s">
        <v>593</v>
      </c>
      <c r="B550" t="s">
        <v>75</v>
      </c>
      <c r="C550" t="s">
        <v>19</v>
      </c>
      <c r="D550">
        <v>46990.87</v>
      </c>
      <c r="E550">
        <v>4</v>
      </c>
      <c r="F550">
        <v>187963.48</v>
      </c>
      <c r="G550" s="1">
        <v>45384</v>
      </c>
      <c r="H550" t="s">
        <v>42</v>
      </c>
      <c r="I550">
        <v>1.7</v>
      </c>
    </row>
    <row r="551" spans="1:9" x14ac:dyDescent="0.3">
      <c r="A551" t="s">
        <v>594</v>
      </c>
      <c r="B551" t="s">
        <v>32</v>
      </c>
      <c r="C551" t="s">
        <v>25</v>
      </c>
      <c r="D551">
        <v>31137.03</v>
      </c>
      <c r="E551">
        <v>5</v>
      </c>
      <c r="F551">
        <v>155685.15</v>
      </c>
      <c r="G551" s="1">
        <v>45655</v>
      </c>
      <c r="H551" t="s">
        <v>47</v>
      </c>
      <c r="I551">
        <v>2.6</v>
      </c>
    </row>
    <row r="552" spans="1:9" x14ac:dyDescent="0.3">
      <c r="A552" t="s">
        <v>595</v>
      </c>
      <c r="B552" t="s">
        <v>71</v>
      </c>
      <c r="C552" t="s">
        <v>22</v>
      </c>
      <c r="D552">
        <v>35821.160000000003</v>
      </c>
      <c r="E552">
        <v>4</v>
      </c>
      <c r="F552">
        <v>143284.64000000001</v>
      </c>
      <c r="G552" s="1">
        <v>45695</v>
      </c>
      <c r="H552" t="s">
        <v>12</v>
      </c>
      <c r="I552">
        <v>2.1</v>
      </c>
    </row>
    <row r="553" spans="1:9" x14ac:dyDescent="0.3">
      <c r="A553" t="s">
        <v>596</v>
      </c>
      <c r="B553" t="s">
        <v>75</v>
      </c>
      <c r="C553" t="s">
        <v>19</v>
      </c>
      <c r="D553">
        <v>28156.95</v>
      </c>
      <c r="E553">
        <v>5</v>
      </c>
      <c r="F553">
        <v>140784.75</v>
      </c>
      <c r="G553" s="1">
        <v>45418</v>
      </c>
      <c r="H553" t="s">
        <v>16</v>
      </c>
      <c r="I553">
        <v>2.7</v>
      </c>
    </row>
    <row r="554" spans="1:9" x14ac:dyDescent="0.3">
      <c r="A554" t="s">
        <v>597</v>
      </c>
      <c r="B554" t="s">
        <v>40</v>
      </c>
      <c r="C554" t="s">
        <v>19</v>
      </c>
      <c r="D554">
        <v>9335.19</v>
      </c>
      <c r="E554">
        <v>2</v>
      </c>
      <c r="F554">
        <v>18670.38</v>
      </c>
      <c r="G554" s="1">
        <v>45624</v>
      </c>
      <c r="H554" t="s">
        <v>42</v>
      </c>
      <c r="I554">
        <v>3.9</v>
      </c>
    </row>
    <row r="555" spans="1:9" x14ac:dyDescent="0.3">
      <c r="A555" t="s">
        <v>598</v>
      </c>
      <c r="B555" t="s">
        <v>54</v>
      </c>
      <c r="C555" t="s">
        <v>15</v>
      </c>
      <c r="D555">
        <v>25114.77</v>
      </c>
      <c r="E555">
        <v>2</v>
      </c>
      <c r="F555">
        <v>50229.54</v>
      </c>
      <c r="G555" s="1">
        <v>45511</v>
      </c>
      <c r="H555" t="s">
        <v>42</v>
      </c>
      <c r="I555">
        <v>3.6</v>
      </c>
    </row>
    <row r="556" spans="1:9" x14ac:dyDescent="0.3">
      <c r="A556" t="s">
        <v>599</v>
      </c>
      <c r="B556" t="s">
        <v>40</v>
      </c>
      <c r="C556" t="s">
        <v>19</v>
      </c>
      <c r="D556">
        <v>19961.03</v>
      </c>
      <c r="E556">
        <v>3</v>
      </c>
      <c r="F556">
        <v>59883.09</v>
      </c>
      <c r="G556" s="1">
        <v>45624</v>
      </c>
      <c r="H556" t="s">
        <v>47</v>
      </c>
      <c r="I556">
        <v>2.9</v>
      </c>
    </row>
    <row r="557" spans="1:9" x14ac:dyDescent="0.3">
      <c r="A557" t="s">
        <v>600</v>
      </c>
      <c r="B557" t="s">
        <v>71</v>
      </c>
      <c r="C557" t="s">
        <v>22</v>
      </c>
      <c r="D557">
        <v>38488.04</v>
      </c>
      <c r="E557">
        <v>2</v>
      </c>
      <c r="F557">
        <v>76976.08</v>
      </c>
      <c r="G557" s="1">
        <v>45508</v>
      </c>
      <c r="H557" t="s">
        <v>16</v>
      </c>
      <c r="I557">
        <v>1.1000000000000001</v>
      </c>
    </row>
    <row r="558" spans="1:9" x14ac:dyDescent="0.3">
      <c r="A558" t="s">
        <v>601</v>
      </c>
      <c r="B558" t="s">
        <v>38</v>
      </c>
      <c r="C558" t="s">
        <v>19</v>
      </c>
      <c r="D558">
        <v>20202.560000000001</v>
      </c>
      <c r="E558">
        <v>5</v>
      </c>
      <c r="F558">
        <v>101012.8</v>
      </c>
      <c r="G558" s="1">
        <v>45429</v>
      </c>
      <c r="H558" t="s">
        <v>47</v>
      </c>
      <c r="I558">
        <v>3.6</v>
      </c>
    </row>
    <row r="559" spans="1:9" x14ac:dyDescent="0.3">
      <c r="A559" t="s">
        <v>602</v>
      </c>
      <c r="B559" t="s">
        <v>82</v>
      </c>
      <c r="C559" t="s">
        <v>22</v>
      </c>
      <c r="D559">
        <v>39008.370000000003</v>
      </c>
      <c r="E559">
        <v>3</v>
      </c>
      <c r="F559">
        <v>117025.11</v>
      </c>
      <c r="G559" s="1">
        <v>45556</v>
      </c>
      <c r="H559" t="s">
        <v>56</v>
      </c>
      <c r="I559">
        <v>2.2000000000000002</v>
      </c>
    </row>
    <row r="560" spans="1:9" x14ac:dyDescent="0.3">
      <c r="A560" t="s">
        <v>603</v>
      </c>
      <c r="B560" t="s">
        <v>38</v>
      </c>
      <c r="C560" t="s">
        <v>19</v>
      </c>
      <c r="D560">
        <v>9946.27</v>
      </c>
      <c r="E560">
        <v>1</v>
      </c>
      <c r="F560">
        <v>9946.27</v>
      </c>
      <c r="G560" s="1">
        <v>45645</v>
      </c>
      <c r="H560" t="s">
        <v>47</v>
      </c>
      <c r="I560">
        <v>1.1000000000000001</v>
      </c>
    </row>
    <row r="561" spans="1:9" x14ac:dyDescent="0.3">
      <c r="A561" t="s">
        <v>604</v>
      </c>
      <c r="B561" t="s">
        <v>54</v>
      </c>
      <c r="C561" t="s">
        <v>15</v>
      </c>
      <c r="D561">
        <v>7994.76</v>
      </c>
      <c r="E561">
        <v>5</v>
      </c>
      <c r="F561">
        <v>39973.800000000003</v>
      </c>
      <c r="G561" s="1">
        <v>45558</v>
      </c>
      <c r="H561" t="s">
        <v>12</v>
      </c>
      <c r="I561">
        <v>1.5</v>
      </c>
    </row>
    <row r="562" spans="1:9" x14ac:dyDescent="0.3">
      <c r="A562" t="s">
        <v>605</v>
      </c>
      <c r="B562" t="s">
        <v>24</v>
      </c>
      <c r="C562" t="s">
        <v>25</v>
      </c>
      <c r="D562">
        <v>6341.62</v>
      </c>
      <c r="E562">
        <v>3</v>
      </c>
      <c r="F562">
        <v>19024.86</v>
      </c>
      <c r="G562" s="1">
        <v>45632</v>
      </c>
      <c r="H562" t="s">
        <v>47</v>
      </c>
      <c r="I562">
        <v>4.4000000000000004</v>
      </c>
    </row>
    <row r="563" spans="1:9" x14ac:dyDescent="0.3">
      <c r="A563" t="s">
        <v>606</v>
      </c>
      <c r="B563" t="s">
        <v>14</v>
      </c>
      <c r="C563" t="s">
        <v>15</v>
      </c>
      <c r="D563">
        <v>37503.57</v>
      </c>
      <c r="E563">
        <v>4</v>
      </c>
      <c r="F563">
        <v>150014.28</v>
      </c>
      <c r="G563" s="1">
        <v>45385</v>
      </c>
      <c r="H563" t="s">
        <v>42</v>
      </c>
      <c r="I563">
        <v>1.8</v>
      </c>
    </row>
    <row r="564" spans="1:9" x14ac:dyDescent="0.3">
      <c r="A564" t="s">
        <v>607</v>
      </c>
      <c r="B564" t="s">
        <v>93</v>
      </c>
      <c r="C564" t="s">
        <v>11</v>
      </c>
      <c r="D564">
        <v>36760.35</v>
      </c>
      <c r="E564">
        <v>1</v>
      </c>
      <c r="F564">
        <v>36760.35</v>
      </c>
      <c r="G564" s="1">
        <v>45531</v>
      </c>
      <c r="H564" t="s">
        <v>47</v>
      </c>
      <c r="I564">
        <v>1.5</v>
      </c>
    </row>
    <row r="565" spans="1:9" x14ac:dyDescent="0.3">
      <c r="A565" t="s">
        <v>608</v>
      </c>
      <c r="B565" t="s">
        <v>34</v>
      </c>
      <c r="C565" t="s">
        <v>15</v>
      </c>
      <c r="D565">
        <v>38023.86</v>
      </c>
      <c r="E565">
        <v>5</v>
      </c>
      <c r="F565">
        <v>190119.3</v>
      </c>
      <c r="G565" s="1">
        <v>45495</v>
      </c>
      <c r="H565" t="s">
        <v>47</v>
      </c>
      <c r="I565">
        <v>2.1</v>
      </c>
    </row>
    <row r="566" spans="1:9" x14ac:dyDescent="0.3">
      <c r="A566" t="s">
        <v>609</v>
      </c>
      <c r="B566" t="s">
        <v>151</v>
      </c>
      <c r="C566" t="s">
        <v>15</v>
      </c>
      <c r="D566">
        <v>17983.34</v>
      </c>
      <c r="E566">
        <v>1</v>
      </c>
      <c r="F566">
        <v>17983.34</v>
      </c>
      <c r="G566" s="1">
        <v>45342</v>
      </c>
      <c r="H566" t="s">
        <v>42</v>
      </c>
      <c r="I566">
        <v>1.5</v>
      </c>
    </row>
    <row r="567" spans="1:9" x14ac:dyDescent="0.3">
      <c r="A567" t="s">
        <v>610</v>
      </c>
      <c r="B567" t="s">
        <v>60</v>
      </c>
      <c r="C567" t="s">
        <v>25</v>
      </c>
      <c r="D567">
        <v>25457.34</v>
      </c>
      <c r="E567">
        <v>5</v>
      </c>
      <c r="F567">
        <v>127286.7</v>
      </c>
      <c r="G567" s="1">
        <v>45423</v>
      </c>
      <c r="H567" t="s">
        <v>16</v>
      </c>
      <c r="I567">
        <v>4.3</v>
      </c>
    </row>
    <row r="568" spans="1:9" x14ac:dyDescent="0.3">
      <c r="A568" t="s">
        <v>611</v>
      </c>
      <c r="B568" t="s">
        <v>100</v>
      </c>
      <c r="C568" t="s">
        <v>11</v>
      </c>
      <c r="D568">
        <v>26220.67</v>
      </c>
      <c r="E568">
        <v>4</v>
      </c>
      <c r="F568">
        <v>104882.68</v>
      </c>
      <c r="G568" s="1">
        <v>45412</v>
      </c>
      <c r="H568" t="s">
        <v>56</v>
      </c>
      <c r="I568">
        <v>3.3</v>
      </c>
    </row>
    <row r="569" spans="1:9" x14ac:dyDescent="0.3">
      <c r="A569" t="s">
        <v>612</v>
      </c>
      <c r="B569" t="s">
        <v>10</v>
      </c>
      <c r="C569" t="s">
        <v>11</v>
      </c>
      <c r="D569">
        <v>48670.07</v>
      </c>
      <c r="E569">
        <v>1</v>
      </c>
      <c r="F569">
        <v>48670.07</v>
      </c>
      <c r="G569" s="1">
        <v>45689</v>
      </c>
      <c r="H569" t="s">
        <v>16</v>
      </c>
      <c r="I569">
        <v>4.2</v>
      </c>
    </row>
    <row r="570" spans="1:9" x14ac:dyDescent="0.3">
      <c r="A570" t="s">
        <v>613</v>
      </c>
      <c r="B570" t="s">
        <v>44</v>
      </c>
      <c r="C570" t="s">
        <v>22</v>
      </c>
      <c r="D570">
        <v>12197.36</v>
      </c>
      <c r="E570">
        <v>5</v>
      </c>
      <c r="F570">
        <v>60986.8</v>
      </c>
      <c r="G570" s="1">
        <v>45667</v>
      </c>
      <c r="H570" t="s">
        <v>12</v>
      </c>
      <c r="I570">
        <v>3.5</v>
      </c>
    </row>
    <row r="571" spans="1:9" x14ac:dyDescent="0.3">
      <c r="A571" t="s">
        <v>614</v>
      </c>
      <c r="B571" t="s">
        <v>36</v>
      </c>
      <c r="C571" t="s">
        <v>22</v>
      </c>
      <c r="D571">
        <v>14488.22</v>
      </c>
      <c r="E571">
        <v>4</v>
      </c>
      <c r="F571">
        <v>57952.88</v>
      </c>
      <c r="G571" s="1">
        <v>45651</v>
      </c>
      <c r="H571" t="s">
        <v>56</v>
      </c>
      <c r="I571">
        <v>2.7</v>
      </c>
    </row>
    <row r="572" spans="1:9" x14ac:dyDescent="0.3">
      <c r="A572" t="s">
        <v>615</v>
      </c>
      <c r="B572" t="s">
        <v>32</v>
      </c>
      <c r="C572" t="s">
        <v>25</v>
      </c>
      <c r="D572">
        <v>33547.94</v>
      </c>
      <c r="E572">
        <v>2</v>
      </c>
      <c r="F572">
        <v>67095.88</v>
      </c>
      <c r="G572" s="1">
        <v>45672</v>
      </c>
      <c r="H572" t="s">
        <v>56</v>
      </c>
      <c r="I572">
        <v>1.1000000000000001</v>
      </c>
    </row>
    <row r="573" spans="1:9" x14ac:dyDescent="0.3">
      <c r="A573" t="s">
        <v>616</v>
      </c>
      <c r="B573" t="s">
        <v>30</v>
      </c>
      <c r="C573" t="s">
        <v>15</v>
      </c>
      <c r="D573">
        <v>4800.26</v>
      </c>
      <c r="E573">
        <v>5</v>
      </c>
      <c r="F573">
        <v>24001.3</v>
      </c>
      <c r="G573" s="1">
        <v>45374</v>
      </c>
      <c r="H573" t="s">
        <v>16</v>
      </c>
      <c r="I573">
        <v>2.2000000000000002</v>
      </c>
    </row>
    <row r="574" spans="1:9" x14ac:dyDescent="0.3">
      <c r="A574" t="s">
        <v>617</v>
      </c>
      <c r="B574" t="s">
        <v>24</v>
      </c>
      <c r="C574" t="s">
        <v>25</v>
      </c>
      <c r="D574">
        <v>36429.57</v>
      </c>
      <c r="E574">
        <v>4</v>
      </c>
      <c r="F574">
        <v>145718.28</v>
      </c>
      <c r="G574" s="1">
        <v>45390</v>
      </c>
      <c r="H574" t="s">
        <v>47</v>
      </c>
      <c r="I574">
        <v>4.5999999999999996</v>
      </c>
    </row>
    <row r="575" spans="1:9" x14ac:dyDescent="0.3">
      <c r="A575" t="s">
        <v>618</v>
      </c>
      <c r="B575" t="s">
        <v>36</v>
      </c>
      <c r="C575" t="s">
        <v>22</v>
      </c>
      <c r="D575">
        <v>29775.43</v>
      </c>
      <c r="E575">
        <v>4</v>
      </c>
      <c r="F575">
        <v>119101.72</v>
      </c>
      <c r="G575" s="1">
        <v>45339</v>
      </c>
      <c r="H575" t="s">
        <v>12</v>
      </c>
      <c r="I575">
        <v>4.5999999999999996</v>
      </c>
    </row>
    <row r="576" spans="1:9" x14ac:dyDescent="0.3">
      <c r="A576" t="s">
        <v>619</v>
      </c>
      <c r="B576" t="s">
        <v>38</v>
      </c>
      <c r="C576" t="s">
        <v>19</v>
      </c>
      <c r="D576">
        <v>10736.32</v>
      </c>
      <c r="E576">
        <v>3</v>
      </c>
      <c r="F576">
        <v>32208.959999999999</v>
      </c>
      <c r="G576" s="1">
        <v>45488</v>
      </c>
      <c r="H576" t="s">
        <v>16</v>
      </c>
      <c r="I576">
        <v>3.7</v>
      </c>
    </row>
    <row r="577" spans="1:9" x14ac:dyDescent="0.3">
      <c r="A577" t="s">
        <v>620</v>
      </c>
      <c r="B577" t="s">
        <v>100</v>
      </c>
      <c r="C577" t="s">
        <v>11</v>
      </c>
      <c r="D577">
        <v>8005.02</v>
      </c>
      <c r="E577">
        <v>5</v>
      </c>
      <c r="F577">
        <v>40025.1</v>
      </c>
      <c r="G577" s="1">
        <v>45422</v>
      </c>
      <c r="H577" t="s">
        <v>16</v>
      </c>
      <c r="I577">
        <v>2.5</v>
      </c>
    </row>
    <row r="578" spans="1:9" x14ac:dyDescent="0.3">
      <c r="A578" t="s">
        <v>621</v>
      </c>
      <c r="B578" t="s">
        <v>38</v>
      </c>
      <c r="C578" t="s">
        <v>19</v>
      </c>
      <c r="D578">
        <v>32078.48</v>
      </c>
      <c r="E578">
        <v>3</v>
      </c>
      <c r="F578">
        <v>96235.44</v>
      </c>
      <c r="G578" s="1">
        <v>45378</v>
      </c>
      <c r="H578" t="s">
        <v>47</v>
      </c>
      <c r="I578">
        <v>4.5</v>
      </c>
    </row>
    <row r="579" spans="1:9" x14ac:dyDescent="0.3">
      <c r="A579" t="s">
        <v>622</v>
      </c>
      <c r="B579" t="s">
        <v>21</v>
      </c>
      <c r="C579" t="s">
        <v>22</v>
      </c>
      <c r="D579">
        <v>31277.18</v>
      </c>
      <c r="E579">
        <v>1</v>
      </c>
      <c r="F579">
        <v>31277.18</v>
      </c>
      <c r="G579" s="1">
        <v>45545</v>
      </c>
      <c r="H579" t="s">
        <v>12</v>
      </c>
      <c r="I579">
        <v>3</v>
      </c>
    </row>
    <row r="580" spans="1:9" x14ac:dyDescent="0.3">
      <c r="A580" t="s">
        <v>623</v>
      </c>
      <c r="B580" t="s">
        <v>82</v>
      </c>
      <c r="C580" t="s">
        <v>22</v>
      </c>
      <c r="D580">
        <v>31094.13</v>
      </c>
      <c r="E580">
        <v>1</v>
      </c>
      <c r="F580">
        <v>31094.13</v>
      </c>
      <c r="G580" s="1">
        <v>45599</v>
      </c>
      <c r="H580" t="s">
        <v>16</v>
      </c>
      <c r="I580">
        <v>2.7</v>
      </c>
    </row>
    <row r="581" spans="1:9" x14ac:dyDescent="0.3">
      <c r="A581" t="s">
        <v>624</v>
      </c>
      <c r="B581" t="s">
        <v>46</v>
      </c>
      <c r="C581" t="s">
        <v>11</v>
      </c>
      <c r="D581">
        <v>15881.67</v>
      </c>
      <c r="E581">
        <v>4</v>
      </c>
      <c r="F581">
        <v>63526.68</v>
      </c>
      <c r="G581" s="1">
        <v>45676</v>
      </c>
      <c r="H581" t="s">
        <v>28</v>
      </c>
      <c r="I581">
        <v>4.3</v>
      </c>
    </row>
    <row r="582" spans="1:9" x14ac:dyDescent="0.3">
      <c r="A582" t="s">
        <v>625</v>
      </c>
      <c r="B582" t="s">
        <v>34</v>
      </c>
      <c r="C582" t="s">
        <v>15</v>
      </c>
      <c r="D582">
        <v>16129.77</v>
      </c>
      <c r="E582">
        <v>4</v>
      </c>
      <c r="F582">
        <v>64519.08</v>
      </c>
      <c r="G582" s="1">
        <v>45462</v>
      </c>
      <c r="H582" t="s">
        <v>12</v>
      </c>
      <c r="I582">
        <v>1</v>
      </c>
    </row>
    <row r="583" spans="1:9" x14ac:dyDescent="0.3">
      <c r="A583" t="s">
        <v>626</v>
      </c>
      <c r="B583" t="s">
        <v>69</v>
      </c>
      <c r="C583" t="s">
        <v>19</v>
      </c>
      <c r="D583">
        <v>39478.69</v>
      </c>
      <c r="E583">
        <v>5</v>
      </c>
      <c r="F583">
        <v>197393.45</v>
      </c>
      <c r="G583" s="1">
        <v>45620</v>
      </c>
      <c r="H583" t="s">
        <v>47</v>
      </c>
      <c r="I583">
        <v>2.7</v>
      </c>
    </row>
    <row r="584" spans="1:9" x14ac:dyDescent="0.3">
      <c r="A584" t="s">
        <v>627</v>
      </c>
      <c r="B584" t="s">
        <v>46</v>
      </c>
      <c r="C584" t="s">
        <v>11</v>
      </c>
      <c r="D584">
        <v>29635.8</v>
      </c>
      <c r="E584">
        <v>3</v>
      </c>
      <c r="F584">
        <v>88907.4</v>
      </c>
      <c r="G584" s="1">
        <v>45673</v>
      </c>
      <c r="H584" t="s">
        <v>47</v>
      </c>
      <c r="I584">
        <v>1.2</v>
      </c>
    </row>
    <row r="585" spans="1:9" x14ac:dyDescent="0.3">
      <c r="A585" t="s">
        <v>628</v>
      </c>
      <c r="B585" t="s">
        <v>21</v>
      </c>
      <c r="C585" t="s">
        <v>22</v>
      </c>
      <c r="D585">
        <v>7892.27</v>
      </c>
      <c r="E585">
        <v>2</v>
      </c>
      <c r="F585">
        <v>15784.54</v>
      </c>
      <c r="G585" s="1">
        <v>45414</v>
      </c>
      <c r="H585" t="s">
        <v>56</v>
      </c>
      <c r="I585">
        <v>1.1000000000000001</v>
      </c>
    </row>
    <row r="586" spans="1:9" x14ac:dyDescent="0.3">
      <c r="A586" t="s">
        <v>629</v>
      </c>
      <c r="B586" t="s">
        <v>36</v>
      </c>
      <c r="C586" t="s">
        <v>22</v>
      </c>
      <c r="D586">
        <v>45112.24</v>
      </c>
      <c r="E586">
        <v>3</v>
      </c>
      <c r="F586">
        <v>135336.72</v>
      </c>
      <c r="G586" s="1">
        <v>45609</v>
      </c>
      <c r="H586" t="s">
        <v>28</v>
      </c>
      <c r="I586">
        <v>4.7</v>
      </c>
    </row>
    <row r="587" spans="1:9" x14ac:dyDescent="0.3">
      <c r="A587" t="s">
        <v>630</v>
      </c>
      <c r="B587" t="s">
        <v>14</v>
      </c>
      <c r="C587" t="s">
        <v>15</v>
      </c>
      <c r="D587">
        <v>26527.78</v>
      </c>
      <c r="E587">
        <v>4</v>
      </c>
      <c r="F587">
        <v>106111.12</v>
      </c>
      <c r="G587" s="1">
        <v>45337</v>
      </c>
      <c r="H587" t="s">
        <v>56</v>
      </c>
      <c r="I587">
        <v>3.7</v>
      </c>
    </row>
    <row r="588" spans="1:9" x14ac:dyDescent="0.3">
      <c r="A588" t="s">
        <v>631</v>
      </c>
      <c r="B588" t="s">
        <v>24</v>
      </c>
      <c r="C588" t="s">
        <v>25</v>
      </c>
      <c r="D588">
        <v>37170.400000000001</v>
      </c>
      <c r="E588">
        <v>5</v>
      </c>
      <c r="F588">
        <v>185852</v>
      </c>
      <c r="G588" s="1">
        <v>45420</v>
      </c>
      <c r="H588" t="s">
        <v>12</v>
      </c>
      <c r="I588">
        <v>3.7</v>
      </c>
    </row>
    <row r="589" spans="1:9" x14ac:dyDescent="0.3">
      <c r="A589" t="s">
        <v>632</v>
      </c>
      <c r="B589" t="s">
        <v>14</v>
      </c>
      <c r="C589" t="s">
        <v>15</v>
      </c>
      <c r="D589">
        <v>47535.79</v>
      </c>
      <c r="E589">
        <v>5</v>
      </c>
      <c r="F589">
        <v>237678.95</v>
      </c>
      <c r="G589" s="1">
        <v>45337</v>
      </c>
      <c r="H589" t="s">
        <v>12</v>
      </c>
      <c r="I589">
        <v>1.8</v>
      </c>
    </row>
    <row r="590" spans="1:9" x14ac:dyDescent="0.3">
      <c r="A590" t="s">
        <v>633</v>
      </c>
      <c r="B590" t="s">
        <v>60</v>
      </c>
      <c r="C590" t="s">
        <v>25</v>
      </c>
      <c r="D590">
        <v>30252.89</v>
      </c>
      <c r="E590">
        <v>4</v>
      </c>
      <c r="F590">
        <v>121011.56</v>
      </c>
      <c r="G590" s="1">
        <v>45642</v>
      </c>
      <c r="H590" t="s">
        <v>28</v>
      </c>
      <c r="I590">
        <v>4.0999999999999996</v>
      </c>
    </row>
    <row r="591" spans="1:9" x14ac:dyDescent="0.3">
      <c r="A591" t="s">
        <v>634</v>
      </c>
      <c r="B591" t="s">
        <v>30</v>
      </c>
      <c r="C591" t="s">
        <v>15</v>
      </c>
      <c r="D591">
        <v>3126.9</v>
      </c>
      <c r="E591">
        <v>3</v>
      </c>
      <c r="F591">
        <v>9380.7000000000007</v>
      </c>
      <c r="G591" s="1">
        <v>45595</v>
      </c>
      <c r="H591" t="s">
        <v>42</v>
      </c>
      <c r="I591">
        <v>1.9</v>
      </c>
    </row>
    <row r="592" spans="1:9" x14ac:dyDescent="0.3">
      <c r="A592" t="s">
        <v>635</v>
      </c>
      <c r="B592" t="s">
        <v>100</v>
      </c>
      <c r="C592" t="s">
        <v>11</v>
      </c>
      <c r="D592">
        <v>40295.47</v>
      </c>
      <c r="E592">
        <v>3</v>
      </c>
      <c r="F592">
        <v>120886.41</v>
      </c>
      <c r="G592" s="1">
        <v>45411</v>
      </c>
      <c r="H592" t="s">
        <v>16</v>
      </c>
      <c r="I592">
        <v>2.8</v>
      </c>
    </row>
    <row r="593" spans="1:9" x14ac:dyDescent="0.3">
      <c r="A593" t="s">
        <v>636</v>
      </c>
      <c r="B593" t="s">
        <v>38</v>
      </c>
      <c r="C593" t="s">
        <v>19</v>
      </c>
      <c r="D593">
        <v>462</v>
      </c>
      <c r="E593">
        <v>4</v>
      </c>
      <c r="F593">
        <v>1848</v>
      </c>
      <c r="G593" s="1">
        <v>45461</v>
      </c>
      <c r="H593" t="s">
        <v>42</v>
      </c>
      <c r="I593">
        <v>3.4</v>
      </c>
    </row>
    <row r="594" spans="1:9" x14ac:dyDescent="0.3">
      <c r="A594" t="s">
        <v>637</v>
      </c>
      <c r="B594" t="s">
        <v>40</v>
      </c>
      <c r="C594" t="s">
        <v>19</v>
      </c>
      <c r="D594">
        <v>22475.54</v>
      </c>
      <c r="E594">
        <v>3</v>
      </c>
      <c r="F594">
        <v>67426.62</v>
      </c>
      <c r="G594" s="1">
        <v>45366</v>
      </c>
      <c r="H594" t="s">
        <v>16</v>
      </c>
      <c r="I594">
        <v>1.6</v>
      </c>
    </row>
    <row r="595" spans="1:9" x14ac:dyDescent="0.3">
      <c r="A595" t="s">
        <v>638</v>
      </c>
      <c r="B595" t="s">
        <v>82</v>
      </c>
      <c r="C595" t="s">
        <v>22</v>
      </c>
      <c r="D595">
        <v>19218.55</v>
      </c>
      <c r="E595">
        <v>2</v>
      </c>
      <c r="F595">
        <v>38437.1</v>
      </c>
      <c r="G595" s="1">
        <v>45555</v>
      </c>
      <c r="H595" t="s">
        <v>28</v>
      </c>
      <c r="I595">
        <v>4.5</v>
      </c>
    </row>
    <row r="596" spans="1:9" x14ac:dyDescent="0.3">
      <c r="A596" t="s">
        <v>639</v>
      </c>
      <c r="B596" t="s">
        <v>21</v>
      </c>
      <c r="C596" t="s">
        <v>22</v>
      </c>
      <c r="D596">
        <v>31162.39</v>
      </c>
      <c r="E596">
        <v>5</v>
      </c>
      <c r="F596">
        <v>155811.95000000001</v>
      </c>
      <c r="G596" s="1">
        <v>45398</v>
      </c>
      <c r="H596" t="s">
        <v>47</v>
      </c>
      <c r="I596">
        <v>3.4</v>
      </c>
    </row>
    <row r="597" spans="1:9" x14ac:dyDescent="0.3">
      <c r="A597" t="s">
        <v>640</v>
      </c>
      <c r="B597" t="s">
        <v>69</v>
      </c>
      <c r="C597" t="s">
        <v>19</v>
      </c>
      <c r="D597">
        <v>16017.54</v>
      </c>
      <c r="E597">
        <v>1</v>
      </c>
      <c r="F597">
        <v>16017.54</v>
      </c>
      <c r="G597" s="1">
        <v>45458</v>
      </c>
      <c r="H597" t="s">
        <v>16</v>
      </c>
      <c r="I597">
        <v>3.5</v>
      </c>
    </row>
    <row r="598" spans="1:9" x14ac:dyDescent="0.3">
      <c r="A598" t="s">
        <v>641</v>
      </c>
      <c r="B598" t="s">
        <v>24</v>
      </c>
      <c r="C598" t="s">
        <v>25</v>
      </c>
      <c r="D598">
        <v>19008.810000000001</v>
      </c>
      <c r="E598">
        <v>4</v>
      </c>
      <c r="F598">
        <v>76035.240000000005</v>
      </c>
      <c r="G598" s="1">
        <v>45478</v>
      </c>
      <c r="H598" t="s">
        <v>42</v>
      </c>
      <c r="I598">
        <v>4.2</v>
      </c>
    </row>
    <row r="599" spans="1:9" x14ac:dyDescent="0.3">
      <c r="A599" t="s">
        <v>642</v>
      </c>
      <c r="B599" t="s">
        <v>82</v>
      </c>
      <c r="C599" t="s">
        <v>22</v>
      </c>
      <c r="D599">
        <v>22353.43</v>
      </c>
      <c r="E599">
        <v>3</v>
      </c>
      <c r="F599">
        <v>67060.289999999994</v>
      </c>
      <c r="G599" s="1">
        <v>45628</v>
      </c>
      <c r="H599" t="s">
        <v>12</v>
      </c>
      <c r="I599">
        <v>1.3</v>
      </c>
    </row>
    <row r="600" spans="1:9" x14ac:dyDescent="0.3">
      <c r="A600" t="s">
        <v>643</v>
      </c>
      <c r="B600" t="s">
        <v>27</v>
      </c>
      <c r="C600" t="s">
        <v>25</v>
      </c>
      <c r="D600">
        <v>30122.28</v>
      </c>
      <c r="E600">
        <v>5</v>
      </c>
      <c r="F600">
        <v>150611.4</v>
      </c>
      <c r="G600" s="1">
        <v>45687</v>
      </c>
      <c r="H600" t="s">
        <v>16</v>
      </c>
      <c r="I600">
        <v>4.8</v>
      </c>
    </row>
    <row r="601" spans="1:9" x14ac:dyDescent="0.3">
      <c r="A601" t="s">
        <v>644</v>
      </c>
      <c r="B601" t="s">
        <v>36</v>
      </c>
      <c r="C601" t="s">
        <v>22</v>
      </c>
      <c r="D601">
        <v>7289.72</v>
      </c>
      <c r="E601">
        <v>5</v>
      </c>
      <c r="F601">
        <v>36448.6</v>
      </c>
      <c r="G601" s="1">
        <v>45441</v>
      </c>
      <c r="H601" t="s">
        <v>28</v>
      </c>
      <c r="I601">
        <v>1.9</v>
      </c>
    </row>
    <row r="602" spans="1:9" x14ac:dyDescent="0.3">
      <c r="A602" t="s">
        <v>645</v>
      </c>
      <c r="B602" t="s">
        <v>21</v>
      </c>
      <c r="C602" t="s">
        <v>22</v>
      </c>
      <c r="D602">
        <v>32122.43</v>
      </c>
      <c r="E602">
        <v>4</v>
      </c>
      <c r="F602">
        <v>128489.72</v>
      </c>
      <c r="G602" s="1">
        <v>45344</v>
      </c>
      <c r="H602" t="s">
        <v>42</v>
      </c>
      <c r="I602">
        <v>2.8</v>
      </c>
    </row>
    <row r="603" spans="1:9" x14ac:dyDescent="0.3">
      <c r="A603" t="s">
        <v>646</v>
      </c>
      <c r="B603" t="s">
        <v>30</v>
      </c>
      <c r="C603" t="s">
        <v>15</v>
      </c>
      <c r="D603">
        <v>43852.34</v>
      </c>
      <c r="E603">
        <v>3</v>
      </c>
      <c r="F603">
        <v>131557.01999999999</v>
      </c>
      <c r="G603" s="1">
        <v>45406</v>
      </c>
      <c r="H603" t="s">
        <v>56</v>
      </c>
      <c r="I603">
        <v>4.2</v>
      </c>
    </row>
    <row r="604" spans="1:9" x14ac:dyDescent="0.3">
      <c r="A604" t="s">
        <v>647</v>
      </c>
      <c r="B604" t="s">
        <v>60</v>
      </c>
      <c r="C604" t="s">
        <v>25</v>
      </c>
      <c r="D604">
        <v>23005.86</v>
      </c>
      <c r="E604">
        <v>1</v>
      </c>
      <c r="F604">
        <v>23005.86</v>
      </c>
      <c r="G604" s="1">
        <v>45491</v>
      </c>
      <c r="H604" t="s">
        <v>47</v>
      </c>
      <c r="I604">
        <v>4.8</v>
      </c>
    </row>
    <row r="605" spans="1:9" x14ac:dyDescent="0.3">
      <c r="A605" t="s">
        <v>648</v>
      </c>
      <c r="B605" t="s">
        <v>30</v>
      </c>
      <c r="C605" t="s">
        <v>15</v>
      </c>
      <c r="D605">
        <v>48580.6</v>
      </c>
      <c r="E605">
        <v>1</v>
      </c>
      <c r="F605">
        <v>48580.6</v>
      </c>
      <c r="G605" s="1">
        <v>45574</v>
      </c>
      <c r="H605" t="s">
        <v>16</v>
      </c>
      <c r="I605">
        <v>3</v>
      </c>
    </row>
    <row r="606" spans="1:9" x14ac:dyDescent="0.3">
      <c r="A606" t="s">
        <v>649</v>
      </c>
      <c r="B606" t="s">
        <v>18</v>
      </c>
      <c r="C606" t="s">
        <v>19</v>
      </c>
      <c r="D606">
        <v>10320.870000000001</v>
      </c>
      <c r="E606">
        <v>5</v>
      </c>
      <c r="F606">
        <v>51604.35</v>
      </c>
      <c r="G606" s="1">
        <v>45693</v>
      </c>
      <c r="H606" t="s">
        <v>28</v>
      </c>
      <c r="I606">
        <v>2.8</v>
      </c>
    </row>
    <row r="607" spans="1:9" x14ac:dyDescent="0.3">
      <c r="A607" t="s">
        <v>650</v>
      </c>
      <c r="B607" t="s">
        <v>24</v>
      </c>
      <c r="C607" t="s">
        <v>25</v>
      </c>
      <c r="D607">
        <v>43149.24</v>
      </c>
      <c r="E607">
        <v>1</v>
      </c>
      <c r="F607">
        <v>43149.24</v>
      </c>
      <c r="G607" s="1">
        <v>45479</v>
      </c>
      <c r="H607" t="s">
        <v>16</v>
      </c>
      <c r="I607">
        <v>1.9</v>
      </c>
    </row>
    <row r="608" spans="1:9" x14ac:dyDescent="0.3">
      <c r="A608" t="s">
        <v>651</v>
      </c>
      <c r="B608" t="s">
        <v>100</v>
      </c>
      <c r="C608" t="s">
        <v>11</v>
      </c>
      <c r="D608">
        <v>567.80999999999995</v>
      </c>
      <c r="E608">
        <v>4</v>
      </c>
      <c r="F608">
        <v>2271.2399999999998</v>
      </c>
      <c r="G608" s="1">
        <v>45674</v>
      </c>
      <c r="H608" t="s">
        <v>28</v>
      </c>
      <c r="I608">
        <v>4.5</v>
      </c>
    </row>
    <row r="609" spans="1:9" x14ac:dyDescent="0.3">
      <c r="A609" t="s">
        <v>652</v>
      </c>
      <c r="B609" t="s">
        <v>46</v>
      </c>
      <c r="C609" t="s">
        <v>11</v>
      </c>
      <c r="D609">
        <v>6705.43</v>
      </c>
      <c r="E609">
        <v>5</v>
      </c>
      <c r="F609">
        <v>33527.15</v>
      </c>
      <c r="G609" s="1">
        <v>45536</v>
      </c>
      <c r="H609" t="s">
        <v>28</v>
      </c>
      <c r="I609">
        <v>4.5</v>
      </c>
    </row>
    <row r="610" spans="1:9" x14ac:dyDescent="0.3">
      <c r="A610" t="s">
        <v>653</v>
      </c>
      <c r="B610" t="s">
        <v>54</v>
      </c>
      <c r="C610" t="s">
        <v>15</v>
      </c>
      <c r="D610">
        <v>29974.35</v>
      </c>
      <c r="E610">
        <v>5</v>
      </c>
      <c r="F610">
        <v>149871.75</v>
      </c>
      <c r="G610" s="1">
        <v>45658</v>
      </c>
      <c r="H610" t="s">
        <v>28</v>
      </c>
      <c r="I610">
        <v>3.1</v>
      </c>
    </row>
    <row r="611" spans="1:9" x14ac:dyDescent="0.3">
      <c r="A611" t="s">
        <v>654</v>
      </c>
      <c r="B611" t="s">
        <v>36</v>
      </c>
      <c r="C611" t="s">
        <v>22</v>
      </c>
      <c r="D611">
        <v>5739.3</v>
      </c>
      <c r="E611">
        <v>4</v>
      </c>
      <c r="F611">
        <v>22957.200000000001</v>
      </c>
      <c r="G611" s="1">
        <v>45488</v>
      </c>
      <c r="H611" t="s">
        <v>47</v>
      </c>
      <c r="I611">
        <v>4.5999999999999996</v>
      </c>
    </row>
    <row r="612" spans="1:9" x14ac:dyDescent="0.3">
      <c r="A612" t="s">
        <v>655</v>
      </c>
      <c r="B612" t="s">
        <v>14</v>
      </c>
      <c r="C612" t="s">
        <v>15</v>
      </c>
      <c r="D612">
        <v>21417.72</v>
      </c>
      <c r="E612">
        <v>4</v>
      </c>
      <c r="F612">
        <v>85670.88</v>
      </c>
      <c r="G612" s="1">
        <v>45493</v>
      </c>
      <c r="H612" t="s">
        <v>12</v>
      </c>
      <c r="I612">
        <v>4.5</v>
      </c>
    </row>
    <row r="613" spans="1:9" x14ac:dyDescent="0.3">
      <c r="A613" t="s">
        <v>656</v>
      </c>
      <c r="B613" t="s">
        <v>32</v>
      </c>
      <c r="C613" t="s">
        <v>25</v>
      </c>
      <c r="D613">
        <v>25404.68</v>
      </c>
      <c r="E613">
        <v>4</v>
      </c>
      <c r="F613">
        <v>101618.72</v>
      </c>
      <c r="G613" s="1">
        <v>45668</v>
      </c>
      <c r="H613" t="s">
        <v>47</v>
      </c>
      <c r="I613">
        <v>4.5999999999999996</v>
      </c>
    </row>
    <row r="614" spans="1:9" x14ac:dyDescent="0.3">
      <c r="A614" t="s">
        <v>657</v>
      </c>
      <c r="B614" t="s">
        <v>27</v>
      </c>
      <c r="C614" t="s">
        <v>25</v>
      </c>
      <c r="D614">
        <v>27582.01</v>
      </c>
      <c r="E614">
        <v>2</v>
      </c>
      <c r="F614">
        <v>55164.02</v>
      </c>
      <c r="G614" s="1">
        <v>45335</v>
      </c>
      <c r="H614" t="s">
        <v>12</v>
      </c>
      <c r="I614">
        <v>1.5</v>
      </c>
    </row>
    <row r="615" spans="1:9" x14ac:dyDescent="0.3">
      <c r="A615" t="s">
        <v>658</v>
      </c>
      <c r="B615" t="s">
        <v>60</v>
      </c>
      <c r="C615" t="s">
        <v>25</v>
      </c>
      <c r="D615">
        <v>23584.89</v>
      </c>
      <c r="E615">
        <v>3</v>
      </c>
      <c r="F615">
        <v>70754.67</v>
      </c>
      <c r="G615" s="1">
        <v>45480</v>
      </c>
      <c r="H615" t="s">
        <v>28</v>
      </c>
      <c r="I615">
        <v>4.0999999999999996</v>
      </c>
    </row>
    <row r="616" spans="1:9" x14ac:dyDescent="0.3">
      <c r="A616" t="s">
        <v>659</v>
      </c>
      <c r="B616" t="s">
        <v>10</v>
      </c>
      <c r="C616" t="s">
        <v>11</v>
      </c>
      <c r="D616">
        <v>24444.89</v>
      </c>
      <c r="E616">
        <v>3</v>
      </c>
      <c r="F616">
        <v>73334.67</v>
      </c>
      <c r="G616" s="1">
        <v>45533</v>
      </c>
      <c r="H616" t="s">
        <v>28</v>
      </c>
      <c r="I616">
        <v>1.2</v>
      </c>
    </row>
    <row r="617" spans="1:9" x14ac:dyDescent="0.3">
      <c r="A617" t="s">
        <v>660</v>
      </c>
      <c r="B617" t="s">
        <v>151</v>
      </c>
      <c r="C617" t="s">
        <v>15</v>
      </c>
      <c r="D617">
        <v>8080.22</v>
      </c>
      <c r="E617">
        <v>2</v>
      </c>
      <c r="F617">
        <v>16160.44</v>
      </c>
      <c r="G617" s="1">
        <v>45358</v>
      </c>
      <c r="H617" t="s">
        <v>12</v>
      </c>
      <c r="I617">
        <v>3.6</v>
      </c>
    </row>
    <row r="618" spans="1:9" x14ac:dyDescent="0.3">
      <c r="A618" t="s">
        <v>661</v>
      </c>
      <c r="B618" t="s">
        <v>40</v>
      </c>
      <c r="C618" t="s">
        <v>19</v>
      </c>
      <c r="D618">
        <v>27860.799999999999</v>
      </c>
      <c r="E618">
        <v>2</v>
      </c>
      <c r="F618">
        <v>55721.599999999999</v>
      </c>
      <c r="G618" s="1">
        <v>45487</v>
      </c>
      <c r="H618" t="s">
        <v>47</v>
      </c>
      <c r="I618">
        <v>2.6</v>
      </c>
    </row>
    <row r="619" spans="1:9" x14ac:dyDescent="0.3">
      <c r="A619" t="s">
        <v>662</v>
      </c>
      <c r="B619" t="s">
        <v>93</v>
      </c>
      <c r="C619" t="s">
        <v>11</v>
      </c>
      <c r="D619">
        <v>30468.47</v>
      </c>
      <c r="E619">
        <v>3</v>
      </c>
      <c r="F619">
        <v>91405.41</v>
      </c>
      <c r="G619" s="1">
        <v>45470</v>
      </c>
      <c r="H619" t="s">
        <v>47</v>
      </c>
      <c r="I619">
        <v>1.7</v>
      </c>
    </row>
    <row r="620" spans="1:9" x14ac:dyDescent="0.3">
      <c r="A620" t="s">
        <v>663</v>
      </c>
      <c r="B620" t="s">
        <v>40</v>
      </c>
      <c r="C620" t="s">
        <v>19</v>
      </c>
      <c r="D620">
        <v>7718.78</v>
      </c>
      <c r="E620">
        <v>1</v>
      </c>
      <c r="F620">
        <v>7718.78</v>
      </c>
      <c r="G620" s="1">
        <v>45654</v>
      </c>
      <c r="H620" t="s">
        <v>12</v>
      </c>
      <c r="I620">
        <v>1.1000000000000001</v>
      </c>
    </row>
    <row r="621" spans="1:9" x14ac:dyDescent="0.3">
      <c r="A621" t="s">
        <v>664</v>
      </c>
      <c r="B621" t="s">
        <v>18</v>
      </c>
      <c r="C621" t="s">
        <v>19</v>
      </c>
      <c r="D621">
        <v>34866.42</v>
      </c>
      <c r="E621">
        <v>1</v>
      </c>
      <c r="F621">
        <v>34866.42</v>
      </c>
      <c r="G621" s="1">
        <v>45644</v>
      </c>
      <c r="H621" t="s">
        <v>42</v>
      </c>
      <c r="I621">
        <v>3.6</v>
      </c>
    </row>
    <row r="622" spans="1:9" x14ac:dyDescent="0.3">
      <c r="A622" t="s">
        <v>665</v>
      </c>
      <c r="B622" t="s">
        <v>30</v>
      </c>
      <c r="C622" t="s">
        <v>15</v>
      </c>
      <c r="D622">
        <v>5369.5</v>
      </c>
      <c r="E622">
        <v>1</v>
      </c>
      <c r="F622">
        <v>5369.5</v>
      </c>
      <c r="G622" s="1">
        <v>45574</v>
      </c>
      <c r="H622" t="s">
        <v>42</v>
      </c>
      <c r="I622">
        <v>3.2</v>
      </c>
    </row>
    <row r="623" spans="1:9" x14ac:dyDescent="0.3">
      <c r="A623" t="s">
        <v>666</v>
      </c>
      <c r="B623" t="s">
        <v>38</v>
      </c>
      <c r="C623" t="s">
        <v>19</v>
      </c>
      <c r="D623">
        <v>18338.759999999998</v>
      </c>
      <c r="E623">
        <v>5</v>
      </c>
      <c r="F623">
        <v>91693.8</v>
      </c>
      <c r="G623" s="1">
        <v>45337</v>
      </c>
      <c r="H623" t="s">
        <v>28</v>
      </c>
      <c r="I623">
        <v>4</v>
      </c>
    </row>
    <row r="624" spans="1:9" x14ac:dyDescent="0.3">
      <c r="A624" t="s">
        <v>667</v>
      </c>
      <c r="B624" t="s">
        <v>82</v>
      </c>
      <c r="C624" t="s">
        <v>22</v>
      </c>
      <c r="D624">
        <v>48287.49</v>
      </c>
      <c r="E624">
        <v>4</v>
      </c>
      <c r="F624">
        <v>193149.96</v>
      </c>
      <c r="G624" s="1">
        <v>45624</v>
      </c>
      <c r="H624" t="s">
        <v>16</v>
      </c>
      <c r="I624">
        <v>1.1000000000000001</v>
      </c>
    </row>
    <row r="625" spans="1:9" x14ac:dyDescent="0.3">
      <c r="A625" t="s">
        <v>668</v>
      </c>
      <c r="B625" t="s">
        <v>54</v>
      </c>
      <c r="C625" t="s">
        <v>15</v>
      </c>
      <c r="D625">
        <v>18161.009999999998</v>
      </c>
      <c r="E625">
        <v>4</v>
      </c>
      <c r="F625">
        <v>72644.039999999994</v>
      </c>
      <c r="G625" s="1">
        <v>45486</v>
      </c>
      <c r="H625" t="s">
        <v>47</v>
      </c>
      <c r="I625">
        <v>2.2999999999999998</v>
      </c>
    </row>
    <row r="626" spans="1:9" x14ac:dyDescent="0.3">
      <c r="A626" t="s">
        <v>669</v>
      </c>
      <c r="B626" t="s">
        <v>14</v>
      </c>
      <c r="C626" t="s">
        <v>15</v>
      </c>
      <c r="D626">
        <v>21064.01</v>
      </c>
      <c r="E626">
        <v>3</v>
      </c>
      <c r="F626">
        <v>63192.03</v>
      </c>
      <c r="G626" s="1">
        <v>45487</v>
      </c>
      <c r="H626" t="s">
        <v>56</v>
      </c>
      <c r="I626">
        <v>1.9</v>
      </c>
    </row>
    <row r="627" spans="1:9" x14ac:dyDescent="0.3">
      <c r="A627" t="s">
        <v>670</v>
      </c>
      <c r="B627" t="s">
        <v>93</v>
      </c>
      <c r="C627" t="s">
        <v>11</v>
      </c>
      <c r="D627">
        <v>8598.2199999999993</v>
      </c>
      <c r="E627">
        <v>5</v>
      </c>
      <c r="F627">
        <v>42991.1</v>
      </c>
      <c r="G627" s="1">
        <v>45695</v>
      </c>
      <c r="H627" t="s">
        <v>16</v>
      </c>
      <c r="I627">
        <v>1.4</v>
      </c>
    </row>
    <row r="628" spans="1:9" x14ac:dyDescent="0.3">
      <c r="A628" t="s">
        <v>671</v>
      </c>
      <c r="B628" t="s">
        <v>21</v>
      </c>
      <c r="C628" t="s">
        <v>22</v>
      </c>
      <c r="D628">
        <v>27897.4</v>
      </c>
      <c r="E628">
        <v>2</v>
      </c>
      <c r="F628">
        <v>55794.8</v>
      </c>
      <c r="G628" s="1">
        <v>45601</v>
      </c>
      <c r="H628" t="s">
        <v>42</v>
      </c>
      <c r="I628">
        <v>1.8</v>
      </c>
    </row>
    <row r="629" spans="1:9" x14ac:dyDescent="0.3">
      <c r="A629" t="s">
        <v>672</v>
      </c>
      <c r="B629" t="s">
        <v>40</v>
      </c>
      <c r="C629" t="s">
        <v>19</v>
      </c>
      <c r="D629">
        <v>3153.16</v>
      </c>
      <c r="E629">
        <v>2</v>
      </c>
      <c r="F629">
        <v>6306.32</v>
      </c>
      <c r="G629" s="1">
        <v>45531</v>
      </c>
      <c r="H629" t="s">
        <v>56</v>
      </c>
      <c r="I629">
        <v>4.4000000000000004</v>
      </c>
    </row>
    <row r="630" spans="1:9" x14ac:dyDescent="0.3">
      <c r="A630" t="s">
        <v>673</v>
      </c>
      <c r="B630" t="s">
        <v>82</v>
      </c>
      <c r="C630" t="s">
        <v>22</v>
      </c>
      <c r="D630">
        <v>25634.9</v>
      </c>
      <c r="E630">
        <v>1</v>
      </c>
      <c r="F630">
        <v>25634.9</v>
      </c>
      <c r="G630" s="1">
        <v>45566</v>
      </c>
      <c r="H630" t="s">
        <v>56</v>
      </c>
      <c r="I630">
        <v>4.3</v>
      </c>
    </row>
    <row r="631" spans="1:9" x14ac:dyDescent="0.3">
      <c r="A631" t="s">
        <v>674</v>
      </c>
      <c r="B631" t="s">
        <v>44</v>
      </c>
      <c r="C631" t="s">
        <v>22</v>
      </c>
      <c r="D631">
        <v>9427.83</v>
      </c>
      <c r="E631">
        <v>3</v>
      </c>
      <c r="F631">
        <v>28283.49</v>
      </c>
      <c r="G631" s="1">
        <v>45457</v>
      </c>
      <c r="H631" t="s">
        <v>56</v>
      </c>
      <c r="I631">
        <v>4.2</v>
      </c>
    </row>
    <row r="632" spans="1:9" x14ac:dyDescent="0.3">
      <c r="A632" t="s">
        <v>675</v>
      </c>
      <c r="B632" t="s">
        <v>75</v>
      </c>
      <c r="C632" t="s">
        <v>19</v>
      </c>
      <c r="D632">
        <v>22564.13</v>
      </c>
      <c r="E632">
        <v>1</v>
      </c>
      <c r="F632">
        <v>22564.13</v>
      </c>
      <c r="G632" s="1">
        <v>45575</v>
      </c>
      <c r="H632" t="s">
        <v>28</v>
      </c>
      <c r="I632">
        <v>3.2</v>
      </c>
    </row>
    <row r="633" spans="1:9" x14ac:dyDescent="0.3">
      <c r="A633" t="s">
        <v>676</v>
      </c>
      <c r="B633" t="s">
        <v>30</v>
      </c>
      <c r="C633" t="s">
        <v>15</v>
      </c>
      <c r="D633">
        <v>47288.95</v>
      </c>
      <c r="E633">
        <v>1</v>
      </c>
      <c r="F633">
        <v>47288.95</v>
      </c>
      <c r="G633" s="1">
        <v>45667</v>
      </c>
      <c r="H633" t="s">
        <v>28</v>
      </c>
      <c r="I633">
        <v>3.1</v>
      </c>
    </row>
    <row r="634" spans="1:9" x14ac:dyDescent="0.3">
      <c r="A634" t="s">
        <v>677</v>
      </c>
      <c r="B634" t="s">
        <v>10</v>
      </c>
      <c r="C634" t="s">
        <v>11</v>
      </c>
      <c r="D634">
        <v>24537.79</v>
      </c>
      <c r="E634">
        <v>3</v>
      </c>
      <c r="F634">
        <v>73613.37</v>
      </c>
      <c r="G634" s="1">
        <v>45574</v>
      </c>
      <c r="H634" t="s">
        <v>47</v>
      </c>
      <c r="I634">
        <v>1.6</v>
      </c>
    </row>
    <row r="635" spans="1:9" x14ac:dyDescent="0.3">
      <c r="A635" t="s">
        <v>678</v>
      </c>
      <c r="B635" t="s">
        <v>21</v>
      </c>
      <c r="C635" t="s">
        <v>22</v>
      </c>
      <c r="D635">
        <v>22226.76</v>
      </c>
      <c r="E635">
        <v>5</v>
      </c>
      <c r="F635">
        <v>111133.8</v>
      </c>
      <c r="G635" s="1">
        <v>45458</v>
      </c>
      <c r="H635" t="s">
        <v>12</v>
      </c>
      <c r="I635">
        <v>4.7</v>
      </c>
    </row>
    <row r="636" spans="1:9" x14ac:dyDescent="0.3">
      <c r="A636" t="s">
        <v>679</v>
      </c>
      <c r="B636" t="s">
        <v>69</v>
      </c>
      <c r="C636" t="s">
        <v>19</v>
      </c>
      <c r="D636">
        <v>14103.34</v>
      </c>
      <c r="E636">
        <v>2</v>
      </c>
      <c r="F636">
        <v>28206.68</v>
      </c>
      <c r="G636" s="1">
        <v>45466</v>
      </c>
      <c r="H636" t="s">
        <v>42</v>
      </c>
      <c r="I636">
        <v>1.6</v>
      </c>
    </row>
    <row r="637" spans="1:9" x14ac:dyDescent="0.3">
      <c r="A637" t="s">
        <v>680</v>
      </c>
      <c r="B637" t="s">
        <v>120</v>
      </c>
      <c r="C637" t="s">
        <v>25</v>
      </c>
      <c r="D637">
        <v>19376.32</v>
      </c>
      <c r="E637">
        <v>1</v>
      </c>
      <c r="F637">
        <v>19376.32</v>
      </c>
      <c r="G637" s="1">
        <v>45557</v>
      </c>
      <c r="H637" t="s">
        <v>16</v>
      </c>
      <c r="I637">
        <v>4.5</v>
      </c>
    </row>
    <row r="638" spans="1:9" x14ac:dyDescent="0.3">
      <c r="A638" t="s">
        <v>681</v>
      </c>
      <c r="B638" t="s">
        <v>10</v>
      </c>
      <c r="C638" t="s">
        <v>11</v>
      </c>
      <c r="D638">
        <v>41619.15</v>
      </c>
      <c r="E638">
        <v>1</v>
      </c>
      <c r="F638">
        <v>41619.15</v>
      </c>
      <c r="G638" s="1">
        <v>45423</v>
      </c>
      <c r="H638" t="s">
        <v>12</v>
      </c>
      <c r="I638">
        <v>4.9000000000000004</v>
      </c>
    </row>
    <row r="639" spans="1:9" x14ac:dyDescent="0.3">
      <c r="A639" t="s">
        <v>682</v>
      </c>
      <c r="B639" t="s">
        <v>24</v>
      </c>
      <c r="C639" t="s">
        <v>25</v>
      </c>
      <c r="D639">
        <v>14084.61</v>
      </c>
      <c r="E639">
        <v>3</v>
      </c>
      <c r="F639">
        <v>42253.83</v>
      </c>
      <c r="G639" s="1">
        <v>45550</v>
      </c>
      <c r="H639" t="s">
        <v>28</v>
      </c>
      <c r="I639">
        <v>4.9000000000000004</v>
      </c>
    </row>
    <row r="640" spans="1:9" x14ac:dyDescent="0.3">
      <c r="A640" t="s">
        <v>683</v>
      </c>
      <c r="B640" t="s">
        <v>21</v>
      </c>
      <c r="C640" t="s">
        <v>22</v>
      </c>
      <c r="D640">
        <v>25935.66</v>
      </c>
      <c r="E640">
        <v>5</v>
      </c>
      <c r="F640">
        <v>129678.3</v>
      </c>
      <c r="G640" s="1">
        <v>45649</v>
      </c>
      <c r="H640" t="s">
        <v>12</v>
      </c>
      <c r="I640">
        <v>3.7</v>
      </c>
    </row>
    <row r="641" spans="1:9" x14ac:dyDescent="0.3">
      <c r="A641" t="s">
        <v>684</v>
      </c>
      <c r="B641" t="s">
        <v>21</v>
      </c>
      <c r="C641" t="s">
        <v>22</v>
      </c>
      <c r="D641">
        <v>30657.64</v>
      </c>
      <c r="E641">
        <v>5</v>
      </c>
      <c r="F641">
        <v>153288.20000000001</v>
      </c>
      <c r="G641" s="1">
        <v>45636</v>
      </c>
      <c r="H641" t="s">
        <v>56</v>
      </c>
      <c r="I641">
        <v>4.8</v>
      </c>
    </row>
    <row r="642" spans="1:9" x14ac:dyDescent="0.3">
      <c r="A642" t="s">
        <v>685</v>
      </c>
      <c r="B642" t="s">
        <v>151</v>
      </c>
      <c r="C642" t="s">
        <v>15</v>
      </c>
      <c r="D642">
        <v>13596.18</v>
      </c>
      <c r="E642">
        <v>3</v>
      </c>
      <c r="F642">
        <v>40788.54</v>
      </c>
      <c r="G642" s="1">
        <v>45479</v>
      </c>
      <c r="H642" t="s">
        <v>47</v>
      </c>
      <c r="I642">
        <v>2.9</v>
      </c>
    </row>
    <row r="643" spans="1:9" x14ac:dyDescent="0.3">
      <c r="A643" t="s">
        <v>686</v>
      </c>
      <c r="B643" t="s">
        <v>69</v>
      </c>
      <c r="C643" t="s">
        <v>19</v>
      </c>
      <c r="D643">
        <v>28379.75</v>
      </c>
      <c r="E643">
        <v>5</v>
      </c>
      <c r="F643">
        <v>141898.75</v>
      </c>
      <c r="G643" s="1">
        <v>45629</v>
      </c>
      <c r="H643" t="s">
        <v>42</v>
      </c>
      <c r="I643">
        <v>4.4000000000000004</v>
      </c>
    </row>
    <row r="644" spans="1:9" x14ac:dyDescent="0.3">
      <c r="A644" t="s">
        <v>687</v>
      </c>
      <c r="B644" t="s">
        <v>151</v>
      </c>
      <c r="C644" t="s">
        <v>15</v>
      </c>
      <c r="D644">
        <v>12422.09</v>
      </c>
      <c r="E644">
        <v>2</v>
      </c>
      <c r="F644">
        <v>24844.18</v>
      </c>
      <c r="G644" s="1">
        <v>45387</v>
      </c>
      <c r="H644" t="s">
        <v>42</v>
      </c>
      <c r="I644">
        <v>3.4</v>
      </c>
    </row>
    <row r="645" spans="1:9" x14ac:dyDescent="0.3">
      <c r="A645" t="s">
        <v>688</v>
      </c>
      <c r="B645" t="s">
        <v>75</v>
      </c>
      <c r="C645" t="s">
        <v>19</v>
      </c>
      <c r="D645">
        <v>18747.939999999999</v>
      </c>
      <c r="E645">
        <v>1</v>
      </c>
      <c r="F645">
        <v>18747.939999999999</v>
      </c>
      <c r="G645" s="1">
        <v>45596</v>
      </c>
      <c r="H645" t="s">
        <v>56</v>
      </c>
      <c r="I645">
        <v>2.2000000000000002</v>
      </c>
    </row>
    <row r="646" spans="1:9" x14ac:dyDescent="0.3">
      <c r="A646" t="s">
        <v>689</v>
      </c>
      <c r="B646" t="s">
        <v>21</v>
      </c>
      <c r="C646" t="s">
        <v>22</v>
      </c>
      <c r="D646">
        <v>35524.559999999998</v>
      </c>
      <c r="E646">
        <v>1</v>
      </c>
      <c r="F646">
        <v>35524.559999999998</v>
      </c>
      <c r="G646" s="1">
        <v>45512</v>
      </c>
      <c r="H646" t="s">
        <v>16</v>
      </c>
      <c r="I646">
        <v>2</v>
      </c>
    </row>
    <row r="647" spans="1:9" x14ac:dyDescent="0.3">
      <c r="A647" t="s">
        <v>690</v>
      </c>
      <c r="B647" t="s">
        <v>54</v>
      </c>
      <c r="C647" t="s">
        <v>15</v>
      </c>
      <c r="D647">
        <v>36454.629999999997</v>
      </c>
      <c r="E647">
        <v>1</v>
      </c>
      <c r="F647">
        <v>36454.629999999997</v>
      </c>
      <c r="G647" s="1">
        <v>45464</v>
      </c>
      <c r="H647" t="s">
        <v>16</v>
      </c>
      <c r="I647">
        <v>4.3</v>
      </c>
    </row>
    <row r="648" spans="1:9" x14ac:dyDescent="0.3">
      <c r="A648" t="s">
        <v>691</v>
      </c>
      <c r="B648" t="s">
        <v>71</v>
      </c>
      <c r="C648" t="s">
        <v>22</v>
      </c>
      <c r="D648">
        <v>23249.27</v>
      </c>
      <c r="E648">
        <v>3</v>
      </c>
      <c r="F648">
        <v>69747.81</v>
      </c>
      <c r="G648" s="1">
        <v>45563</v>
      </c>
      <c r="H648" t="s">
        <v>47</v>
      </c>
      <c r="I648">
        <v>2.2000000000000002</v>
      </c>
    </row>
    <row r="649" spans="1:9" x14ac:dyDescent="0.3">
      <c r="A649" t="s">
        <v>692</v>
      </c>
      <c r="B649" t="s">
        <v>75</v>
      </c>
      <c r="C649" t="s">
        <v>19</v>
      </c>
      <c r="D649">
        <v>48842.53</v>
      </c>
      <c r="E649">
        <v>1</v>
      </c>
      <c r="F649">
        <v>48842.53</v>
      </c>
      <c r="G649" s="1">
        <v>45424</v>
      </c>
      <c r="H649" t="s">
        <v>56</v>
      </c>
      <c r="I649">
        <v>2.7</v>
      </c>
    </row>
    <row r="650" spans="1:9" x14ac:dyDescent="0.3">
      <c r="A650" t="s">
        <v>693</v>
      </c>
      <c r="B650" t="s">
        <v>36</v>
      </c>
      <c r="C650" t="s">
        <v>22</v>
      </c>
      <c r="D650">
        <v>21881.01</v>
      </c>
      <c r="E650">
        <v>1</v>
      </c>
      <c r="F650">
        <v>21881.01</v>
      </c>
      <c r="G650" s="1">
        <v>45423</v>
      </c>
      <c r="H650" t="s">
        <v>28</v>
      </c>
      <c r="I650">
        <v>3.5</v>
      </c>
    </row>
    <row r="651" spans="1:9" x14ac:dyDescent="0.3">
      <c r="A651" t="s">
        <v>694</v>
      </c>
      <c r="B651" t="s">
        <v>10</v>
      </c>
      <c r="C651" t="s">
        <v>11</v>
      </c>
      <c r="D651">
        <v>38964.36</v>
      </c>
      <c r="E651">
        <v>5</v>
      </c>
      <c r="F651">
        <v>194821.8</v>
      </c>
      <c r="G651" s="1">
        <v>45594</v>
      </c>
      <c r="H651" t="s">
        <v>28</v>
      </c>
      <c r="I651">
        <v>3.9</v>
      </c>
    </row>
    <row r="652" spans="1:9" x14ac:dyDescent="0.3">
      <c r="A652" t="s">
        <v>695</v>
      </c>
      <c r="B652" t="s">
        <v>120</v>
      </c>
      <c r="C652" t="s">
        <v>25</v>
      </c>
      <c r="D652">
        <v>1435.38</v>
      </c>
      <c r="E652">
        <v>4</v>
      </c>
      <c r="F652">
        <v>5741.52</v>
      </c>
      <c r="G652" s="1">
        <v>45375</v>
      </c>
      <c r="H652" t="s">
        <v>16</v>
      </c>
      <c r="I652">
        <v>2</v>
      </c>
    </row>
    <row r="653" spans="1:9" x14ac:dyDescent="0.3">
      <c r="A653" t="s">
        <v>696</v>
      </c>
      <c r="B653" t="s">
        <v>71</v>
      </c>
      <c r="C653" t="s">
        <v>22</v>
      </c>
      <c r="D653">
        <v>2536.16</v>
      </c>
      <c r="E653">
        <v>5</v>
      </c>
      <c r="F653">
        <v>12680.8</v>
      </c>
      <c r="G653" s="1">
        <v>45430</v>
      </c>
      <c r="H653" t="s">
        <v>42</v>
      </c>
      <c r="I653">
        <v>1.8</v>
      </c>
    </row>
    <row r="654" spans="1:9" x14ac:dyDescent="0.3">
      <c r="A654" t="s">
        <v>697</v>
      </c>
      <c r="B654" t="s">
        <v>82</v>
      </c>
      <c r="C654" t="s">
        <v>22</v>
      </c>
      <c r="D654">
        <v>21992.38</v>
      </c>
      <c r="E654">
        <v>5</v>
      </c>
      <c r="F654">
        <v>109961.9</v>
      </c>
      <c r="G654" s="1">
        <v>45501</v>
      </c>
      <c r="H654" t="s">
        <v>12</v>
      </c>
      <c r="I654">
        <v>3.9</v>
      </c>
    </row>
    <row r="655" spans="1:9" x14ac:dyDescent="0.3">
      <c r="A655" t="s">
        <v>698</v>
      </c>
      <c r="B655" t="s">
        <v>40</v>
      </c>
      <c r="C655" t="s">
        <v>19</v>
      </c>
      <c r="D655">
        <v>20194.2</v>
      </c>
      <c r="E655">
        <v>2</v>
      </c>
      <c r="F655">
        <v>40388.400000000001</v>
      </c>
      <c r="G655" s="1">
        <v>45581</v>
      </c>
      <c r="H655" t="s">
        <v>12</v>
      </c>
      <c r="I655">
        <v>3.1</v>
      </c>
    </row>
    <row r="656" spans="1:9" x14ac:dyDescent="0.3">
      <c r="A656" t="s">
        <v>699</v>
      </c>
      <c r="B656" t="s">
        <v>34</v>
      </c>
      <c r="C656" t="s">
        <v>15</v>
      </c>
      <c r="D656">
        <v>18789.810000000001</v>
      </c>
      <c r="E656">
        <v>3</v>
      </c>
      <c r="F656">
        <v>56369.43</v>
      </c>
      <c r="G656" s="1">
        <v>45407</v>
      </c>
      <c r="H656" t="s">
        <v>12</v>
      </c>
      <c r="I656">
        <v>2</v>
      </c>
    </row>
    <row r="657" spans="1:9" x14ac:dyDescent="0.3">
      <c r="A657" t="s">
        <v>700</v>
      </c>
      <c r="B657" t="s">
        <v>71</v>
      </c>
      <c r="C657" t="s">
        <v>22</v>
      </c>
      <c r="D657">
        <v>33027.629999999997</v>
      </c>
      <c r="E657">
        <v>2</v>
      </c>
      <c r="F657">
        <v>66055.259999999995</v>
      </c>
      <c r="G657" s="1">
        <v>45535</v>
      </c>
      <c r="H657" t="s">
        <v>42</v>
      </c>
      <c r="I657">
        <v>1.5</v>
      </c>
    </row>
    <row r="658" spans="1:9" x14ac:dyDescent="0.3">
      <c r="A658" t="s">
        <v>701</v>
      </c>
      <c r="B658" t="s">
        <v>75</v>
      </c>
      <c r="C658" t="s">
        <v>19</v>
      </c>
      <c r="D658">
        <v>44953.24</v>
      </c>
      <c r="E658">
        <v>5</v>
      </c>
      <c r="F658">
        <v>224766.2</v>
      </c>
      <c r="G658" s="1">
        <v>45500</v>
      </c>
      <c r="H658" t="s">
        <v>28</v>
      </c>
      <c r="I658">
        <v>1.1000000000000001</v>
      </c>
    </row>
    <row r="659" spans="1:9" x14ac:dyDescent="0.3">
      <c r="A659" t="s">
        <v>702</v>
      </c>
      <c r="B659" t="s">
        <v>34</v>
      </c>
      <c r="C659" t="s">
        <v>15</v>
      </c>
      <c r="D659">
        <v>47047.23</v>
      </c>
      <c r="E659">
        <v>5</v>
      </c>
      <c r="F659">
        <v>235236.15</v>
      </c>
      <c r="G659" s="1">
        <v>45613</v>
      </c>
      <c r="H659" t="s">
        <v>28</v>
      </c>
      <c r="I659">
        <v>3</v>
      </c>
    </row>
    <row r="660" spans="1:9" x14ac:dyDescent="0.3">
      <c r="A660" t="s">
        <v>703</v>
      </c>
      <c r="B660" t="s">
        <v>82</v>
      </c>
      <c r="C660" t="s">
        <v>22</v>
      </c>
      <c r="D660">
        <v>34358.78</v>
      </c>
      <c r="E660">
        <v>3</v>
      </c>
      <c r="F660">
        <v>103076.34</v>
      </c>
      <c r="G660" s="1">
        <v>45563</v>
      </c>
      <c r="H660" t="s">
        <v>56</v>
      </c>
      <c r="I660">
        <v>2.4</v>
      </c>
    </row>
    <row r="661" spans="1:9" x14ac:dyDescent="0.3">
      <c r="A661" t="s">
        <v>704</v>
      </c>
      <c r="B661" t="s">
        <v>40</v>
      </c>
      <c r="C661" t="s">
        <v>19</v>
      </c>
      <c r="D661">
        <v>12779.59</v>
      </c>
      <c r="E661">
        <v>5</v>
      </c>
      <c r="F661">
        <v>63897.95</v>
      </c>
      <c r="G661" s="1">
        <v>45620</v>
      </c>
      <c r="H661" t="s">
        <v>47</v>
      </c>
      <c r="I661">
        <v>2.8</v>
      </c>
    </row>
    <row r="662" spans="1:9" x14ac:dyDescent="0.3">
      <c r="A662" t="s">
        <v>705</v>
      </c>
      <c r="B662" t="s">
        <v>50</v>
      </c>
      <c r="C662" t="s">
        <v>11</v>
      </c>
      <c r="D662">
        <v>30878.47</v>
      </c>
      <c r="E662">
        <v>5</v>
      </c>
      <c r="F662">
        <v>154392.35</v>
      </c>
      <c r="G662" s="1">
        <v>45484</v>
      </c>
      <c r="H662" t="s">
        <v>16</v>
      </c>
      <c r="I662">
        <v>2.5</v>
      </c>
    </row>
    <row r="663" spans="1:9" x14ac:dyDescent="0.3">
      <c r="A663" t="s">
        <v>706</v>
      </c>
      <c r="B663" t="s">
        <v>18</v>
      </c>
      <c r="C663" t="s">
        <v>19</v>
      </c>
      <c r="D663">
        <v>24227.24</v>
      </c>
      <c r="E663">
        <v>1</v>
      </c>
      <c r="F663">
        <v>24227.24</v>
      </c>
      <c r="G663" s="1">
        <v>45352</v>
      </c>
      <c r="H663" t="s">
        <v>12</v>
      </c>
      <c r="I663">
        <v>2.7</v>
      </c>
    </row>
    <row r="664" spans="1:9" x14ac:dyDescent="0.3">
      <c r="A664" t="s">
        <v>707</v>
      </c>
      <c r="B664" t="s">
        <v>14</v>
      </c>
      <c r="C664" t="s">
        <v>15</v>
      </c>
      <c r="D664">
        <v>15282.31</v>
      </c>
      <c r="E664">
        <v>4</v>
      </c>
      <c r="F664">
        <v>61129.24</v>
      </c>
      <c r="G664" s="1">
        <v>45460</v>
      </c>
      <c r="H664" t="s">
        <v>56</v>
      </c>
      <c r="I664">
        <v>2.1</v>
      </c>
    </row>
    <row r="665" spans="1:9" x14ac:dyDescent="0.3">
      <c r="A665" t="s">
        <v>708</v>
      </c>
      <c r="B665" t="s">
        <v>40</v>
      </c>
      <c r="C665" t="s">
        <v>19</v>
      </c>
      <c r="D665">
        <v>46933.96</v>
      </c>
      <c r="E665">
        <v>1</v>
      </c>
      <c r="F665">
        <v>46933.96</v>
      </c>
      <c r="G665" s="1">
        <v>45446</v>
      </c>
      <c r="H665" t="s">
        <v>12</v>
      </c>
      <c r="I665">
        <v>2.5</v>
      </c>
    </row>
    <row r="666" spans="1:9" x14ac:dyDescent="0.3">
      <c r="A666" t="s">
        <v>709</v>
      </c>
      <c r="B666" t="s">
        <v>38</v>
      </c>
      <c r="C666" t="s">
        <v>19</v>
      </c>
      <c r="D666">
        <v>14622.12</v>
      </c>
      <c r="E666">
        <v>1</v>
      </c>
      <c r="F666">
        <v>14622.12</v>
      </c>
      <c r="G666" s="1">
        <v>45659</v>
      </c>
      <c r="H666" t="s">
        <v>47</v>
      </c>
      <c r="I666">
        <v>4.9000000000000004</v>
      </c>
    </row>
    <row r="667" spans="1:9" x14ac:dyDescent="0.3">
      <c r="A667" t="s">
        <v>710</v>
      </c>
      <c r="B667" t="s">
        <v>50</v>
      </c>
      <c r="C667" t="s">
        <v>11</v>
      </c>
      <c r="D667">
        <v>34830.28</v>
      </c>
      <c r="E667">
        <v>4</v>
      </c>
      <c r="F667">
        <v>139321.12</v>
      </c>
      <c r="G667" s="1">
        <v>45609</v>
      </c>
      <c r="H667" t="s">
        <v>47</v>
      </c>
      <c r="I667">
        <v>2.9</v>
      </c>
    </row>
    <row r="668" spans="1:9" x14ac:dyDescent="0.3">
      <c r="A668" t="s">
        <v>711</v>
      </c>
      <c r="B668" t="s">
        <v>38</v>
      </c>
      <c r="C668" t="s">
        <v>19</v>
      </c>
      <c r="D668">
        <v>43118.19</v>
      </c>
      <c r="E668">
        <v>5</v>
      </c>
      <c r="F668">
        <v>215590.95</v>
      </c>
      <c r="G668" s="1">
        <v>45674</v>
      </c>
      <c r="H668" t="s">
        <v>56</v>
      </c>
      <c r="I668">
        <v>4</v>
      </c>
    </row>
    <row r="669" spans="1:9" x14ac:dyDescent="0.3">
      <c r="A669" t="s">
        <v>712</v>
      </c>
      <c r="B669" t="s">
        <v>50</v>
      </c>
      <c r="C669" t="s">
        <v>11</v>
      </c>
      <c r="D669">
        <v>29885.360000000001</v>
      </c>
      <c r="E669">
        <v>3</v>
      </c>
      <c r="F669">
        <v>89656.08</v>
      </c>
      <c r="G669" s="1">
        <v>45416</v>
      </c>
      <c r="H669" t="s">
        <v>12</v>
      </c>
      <c r="I669">
        <v>4.0999999999999996</v>
      </c>
    </row>
    <row r="670" spans="1:9" x14ac:dyDescent="0.3">
      <c r="A670" t="s">
        <v>713</v>
      </c>
      <c r="B670" t="s">
        <v>10</v>
      </c>
      <c r="C670" t="s">
        <v>11</v>
      </c>
      <c r="D670">
        <v>7728.33</v>
      </c>
      <c r="E670">
        <v>5</v>
      </c>
      <c r="F670">
        <v>38641.65</v>
      </c>
      <c r="G670" s="1">
        <v>45471</v>
      </c>
      <c r="H670" t="s">
        <v>42</v>
      </c>
      <c r="I670">
        <v>3.9</v>
      </c>
    </row>
    <row r="671" spans="1:9" x14ac:dyDescent="0.3">
      <c r="A671" t="s">
        <v>714</v>
      </c>
      <c r="B671" t="s">
        <v>24</v>
      </c>
      <c r="C671" t="s">
        <v>25</v>
      </c>
      <c r="D671">
        <v>36096.74</v>
      </c>
      <c r="E671">
        <v>5</v>
      </c>
      <c r="F671">
        <v>180483.7</v>
      </c>
      <c r="G671" s="1">
        <v>45679</v>
      </c>
      <c r="H671" t="s">
        <v>56</v>
      </c>
      <c r="I671">
        <v>1.8</v>
      </c>
    </row>
    <row r="672" spans="1:9" x14ac:dyDescent="0.3">
      <c r="A672" t="s">
        <v>715</v>
      </c>
      <c r="B672" t="s">
        <v>54</v>
      </c>
      <c r="C672" t="s">
        <v>15</v>
      </c>
      <c r="D672">
        <v>19275.66</v>
      </c>
      <c r="E672">
        <v>4</v>
      </c>
      <c r="F672">
        <v>77102.64</v>
      </c>
      <c r="G672" s="1">
        <v>45399</v>
      </c>
      <c r="H672" t="s">
        <v>56</v>
      </c>
      <c r="I672">
        <v>1.8</v>
      </c>
    </row>
    <row r="673" spans="1:9" x14ac:dyDescent="0.3">
      <c r="A673" t="s">
        <v>716</v>
      </c>
      <c r="B673" t="s">
        <v>120</v>
      </c>
      <c r="C673" t="s">
        <v>25</v>
      </c>
      <c r="D673">
        <v>15387.59</v>
      </c>
      <c r="E673">
        <v>4</v>
      </c>
      <c r="F673">
        <v>61550.36</v>
      </c>
      <c r="G673" s="1">
        <v>45558</v>
      </c>
      <c r="H673" t="s">
        <v>28</v>
      </c>
      <c r="I673">
        <v>1</v>
      </c>
    </row>
    <row r="674" spans="1:9" x14ac:dyDescent="0.3">
      <c r="A674" t="s">
        <v>717</v>
      </c>
      <c r="B674" t="s">
        <v>44</v>
      </c>
      <c r="C674" t="s">
        <v>22</v>
      </c>
      <c r="D674">
        <v>23806.639999999999</v>
      </c>
      <c r="E674">
        <v>1</v>
      </c>
      <c r="F674">
        <v>23806.639999999999</v>
      </c>
      <c r="G674" s="1">
        <v>45353</v>
      </c>
      <c r="H674" t="s">
        <v>12</v>
      </c>
      <c r="I674">
        <v>2.5</v>
      </c>
    </row>
    <row r="675" spans="1:9" x14ac:dyDescent="0.3">
      <c r="A675" t="s">
        <v>718</v>
      </c>
      <c r="B675" t="s">
        <v>69</v>
      </c>
      <c r="C675" t="s">
        <v>19</v>
      </c>
      <c r="D675">
        <v>28568.97</v>
      </c>
      <c r="E675">
        <v>1</v>
      </c>
      <c r="F675">
        <v>28568.97</v>
      </c>
      <c r="G675" s="1">
        <v>45475</v>
      </c>
      <c r="H675" t="s">
        <v>12</v>
      </c>
      <c r="I675">
        <v>1</v>
      </c>
    </row>
    <row r="676" spans="1:9" x14ac:dyDescent="0.3">
      <c r="A676" t="s">
        <v>719</v>
      </c>
      <c r="B676" t="s">
        <v>71</v>
      </c>
      <c r="C676" t="s">
        <v>22</v>
      </c>
      <c r="D676">
        <v>40753.519999999997</v>
      </c>
      <c r="E676">
        <v>1</v>
      </c>
      <c r="F676">
        <v>40753.519999999997</v>
      </c>
      <c r="G676" s="1">
        <v>45352</v>
      </c>
      <c r="H676" t="s">
        <v>12</v>
      </c>
      <c r="I676">
        <v>4.2</v>
      </c>
    </row>
    <row r="677" spans="1:9" x14ac:dyDescent="0.3">
      <c r="A677" t="s">
        <v>720</v>
      </c>
      <c r="B677" t="s">
        <v>36</v>
      </c>
      <c r="C677" t="s">
        <v>22</v>
      </c>
      <c r="D677">
        <v>38571.81</v>
      </c>
      <c r="E677">
        <v>4</v>
      </c>
      <c r="F677">
        <v>154287.24</v>
      </c>
      <c r="G677" s="1">
        <v>45367</v>
      </c>
      <c r="H677" t="s">
        <v>42</v>
      </c>
      <c r="I677">
        <v>1.2</v>
      </c>
    </row>
    <row r="678" spans="1:9" x14ac:dyDescent="0.3">
      <c r="A678" t="s">
        <v>721</v>
      </c>
      <c r="B678" t="s">
        <v>44</v>
      </c>
      <c r="C678" t="s">
        <v>22</v>
      </c>
      <c r="D678">
        <v>25161.91</v>
      </c>
      <c r="E678">
        <v>5</v>
      </c>
      <c r="F678">
        <v>125809.55</v>
      </c>
      <c r="G678" s="1">
        <v>45416</v>
      </c>
      <c r="H678" t="s">
        <v>28</v>
      </c>
      <c r="I678">
        <v>3.4</v>
      </c>
    </row>
    <row r="679" spans="1:9" x14ac:dyDescent="0.3">
      <c r="A679" t="s">
        <v>722</v>
      </c>
      <c r="B679" t="s">
        <v>38</v>
      </c>
      <c r="C679" t="s">
        <v>19</v>
      </c>
      <c r="D679">
        <v>12124.19</v>
      </c>
      <c r="E679">
        <v>3</v>
      </c>
      <c r="F679">
        <v>36372.57</v>
      </c>
      <c r="G679" s="1">
        <v>45617</v>
      </c>
      <c r="H679" t="s">
        <v>12</v>
      </c>
      <c r="I679">
        <v>4.7</v>
      </c>
    </row>
    <row r="680" spans="1:9" x14ac:dyDescent="0.3">
      <c r="A680" t="s">
        <v>723</v>
      </c>
      <c r="B680" t="s">
        <v>10</v>
      </c>
      <c r="C680" t="s">
        <v>11</v>
      </c>
      <c r="D680">
        <v>2013.64</v>
      </c>
      <c r="E680">
        <v>3</v>
      </c>
      <c r="F680">
        <v>6040.92</v>
      </c>
      <c r="G680" s="1">
        <v>45364</v>
      </c>
      <c r="H680" t="s">
        <v>16</v>
      </c>
      <c r="I680">
        <v>3.8</v>
      </c>
    </row>
    <row r="681" spans="1:9" x14ac:dyDescent="0.3">
      <c r="A681" t="s">
        <v>724</v>
      </c>
      <c r="B681" t="s">
        <v>60</v>
      </c>
      <c r="C681" t="s">
        <v>25</v>
      </c>
      <c r="D681">
        <v>6002.25</v>
      </c>
      <c r="E681">
        <v>3</v>
      </c>
      <c r="F681">
        <v>18006.75</v>
      </c>
      <c r="G681" s="1">
        <v>45569</v>
      </c>
      <c r="H681" t="s">
        <v>42</v>
      </c>
      <c r="I681">
        <v>3.5</v>
      </c>
    </row>
    <row r="682" spans="1:9" x14ac:dyDescent="0.3">
      <c r="A682" t="s">
        <v>725</v>
      </c>
      <c r="B682" t="s">
        <v>100</v>
      </c>
      <c r="C682" t="s">
        <v>11</v>
      </c>
      <c r="D682">
        <v>31332.42</v>
      </c>
      <c r="E682">
        <v>4</v>
      </c>
      <c r="F682">
        <v>125329.68</v>
      </c>
      <c r="G682" s="1">
        <v>45543</v>
      </c>
      <c r="H682" t="s">
        <v>47</v>
      </c>
      <c r="I682">
        <v>1.4</v>
      </c>
    </row>
    <row r="683" spans="1:9" x14ac:dyDescent="0.3">
      <c r="A683" t="s">
        <v>726</v>
      </c>
      <c r="B683" t="s">
        <v>60</v>
      </c>
      <c r="C683" t="s">
        <v>25</v>
      </c>
      <c r="D683">
        <v>17539.189999999999</v>
      </c>
      <c r="E683">
        <v>1</v>
      </c>
      <c r="F683">
        <v>17539.189999999999</v>
      </c>
      <c r="G683" s="1">
        <v>45480</v>
      </c>
      <c r="H683" t="s">
        <v>28</v>
      </c>
      <c r="I683">
        <v>3.9</v>
      </c>
    </row>
    <row r="684" spans="1:9" x14ac:dyDescent="0.3">
      <c r="A684" t="s">
        <v>727</v>
      </c>
      <c r="B684" t="s">
        <v>93</v>
      </c>
      <c r="C684" t="s">
        <v>11</v>
      </c>
      <c r="D684">
        <v>14865.47</v>
      </c>
      <c r="E684">
        <v>2</v>
      </c>
      <c r="F684">
        <v>29730.94</v>
      </c>
      <c r="G684" s="1">
        <v>45527</v>
      </c>
      <c r="H684" t="s">
        <v>16</v>
      </c>
      <c r="I684">
        <v>1.6</v>
      </c>
    </row>
    <row r="685" spans="1:9" x14ac:dyDescent="0.3">
      <c r="A685" t="s">
        <v>728</v>
      </c>
      <c r="B685" t="s">
        <v>151</v>
      </c>
      <c r="C685" t="s">
        <v>15</v>
      </c>
      <c r="D685">
        <v>48130.6</v>
      </c>
      <c r="E685">
        <v>5</v>
      </c>
      <c r="F685">
        <v>240653</v>
      </c>
      <c r="G685" s="1">
        <v>45619</v>
      </c>
      <c r="H685" t="s">
        <v>16</v>
      </c>
      <c r="I685">
        <v>4</v>
      </c>
    </row>
    <row r="686" spans="1:9" x14ac:dyDescent="0.3">
      <c r="A686" t="s">
        <v>729</v>
      </c>
      <c r="B686" t="s">
        <v>10</v>
      </c>
      <c r="C686" t="s">
        <v>11</v>
      </c>
      <c r="D686">
        <v>8970.27</v>
      </c>
      <c r="E686">
        <v>3</v>
      </c>
      <c r="F686">
        <v>26910.81</v>
      </c>
      <c r="G686" s="1">
        <v>45464</v>
      </c>
      <c r="H686" t="s">
        <v>42</v>
      </c>
      <c r="I686">
        <v>1.1000000000000001</v>
      </c>
    </row>
    <row r="687" spans="1:9" x14ac:dyDescent="0.3">
      <c r="A687" t="s">
        <v>730</v>
      </c>
      <c r="B687" t="s">
        <v>82</v>
      </c>
      <c r="C687" t="s">
        <v>22</v>
      </c>
      <c r="D687">
        <v>14359.73</v>
      </c>
      <c r="E687">
        <v>2</v>
      </c>
      <c r="F687">
        <v>28719.46</v>
      </c>
      <c r="G687" s="1">
        <v>45465</v>
      </c>
      <c r="H687" t="s">
        <v>16</v>
      </c>
      <c r="I687">
        <v>4.4000000000000004</v>
      </c>
    </row>
    <row r="688" spans="1:9" x14ac:dyDescent="0.3">
      <c r="A688" t="s">
        <v>731</v>
      </c>
      <c r="B688" t="s">
        <v>38</v>
      </c>
      <c r="C688" t="s">
        <v>19</v>
      </c>
      <c r="D688">
        <v>17009.73</v>
      </c>
      <c r="E688">
        <v>4</v>
      </c>
      <c r="F688">
        <v>68038.92</v>
      </c>
      <c r="G688" s="1">
        <v>45608</v>
      </c>
      <c r="H688" t="s">
        <v>12</v>
      </c>
      <c r="I688">
        <v>3.7</v>
      </c>
    </row>
    <row r="689" spans="1:9" x14ac:dyDescent="0.3">
      <c r="A689" t="s">
        <v>732</v>
      </c>
      <c r="B689" t="s">
        <v>54</v>
      </c>
      <c r="C689" t="s">
        <v>15</v>
      </c>
      <c r="D689">
        <v>10385.24</v>
      </c>
      <c r="E689">
        <v>2</v>
      </c>
      <c r="F689">
        <v>20770.48</v>
      </c>
      <c r="G689" s="1">
        <v>45373</v>
      </c>
      <c r="H689" t="s">
        <v>16</v>
      </c>
      <c r="I689">
        <v>4.7</v>
      </c>
    </row>
    <row r="690" spans="1:9" x14ac:dyDescent="0.3">
      <c r="A690" t="s">
        <v>733</v>
      </c>
      <c r="B690" t="s">
        <v>36</v>
      </c>
      <c r="C690" t="s">
        <v>22</v>
      </c>
      <c r="D690">
        <v>28261.1</v>
      </c>
      <c r="E690">
        <v>2</v>
      </c>
      <c r="F690">
        <v>56522.2</v>
      </c>
      <c r="G690" s="1">
        <v>45683</v>
      </c>
      <c r="H690" t="s">
        <v>28</v>
      </c>
      <c r="I690">
        <v>4.3</v>
      </c>
    </row>
    <row r="691" spans="1:9" x14ac:dyDescent="0.3">
      <c r="A691" t="s">
        <v>734</v>
      </c>
      <c r="B691" t="s">
        <v>14</v>
      </c>
      <c r="C691" t="s">
        <v>15</v>
      </c>
      <c r="D691">
        <v>23320.94</v>
      </c>
      <c r="E691">
        <v>2</v>
      </c>
      <c r="F691">
        <v>46641.88</v>
      </c>
      <c r="G691" s="1">
        <v>45414</v>
      </c>
      <c r="H691" t="s">
        <v>28</v>
      </c>
      <c r="I691">
        <v>3.2</v>
      </c>
    </row>
    <row r="692" spans="1:9" x14ac:dyDescent="0.3">
      <c r="A692" t="s">
        <v>735</v>
      </c>
      <c r="B692" t="s">
        <v>54</v>
      </c>
      <c r="C692" t="s">
        <v>15</v>
      </c>
      <c r="D692">
        <v>16038</v>
      </c>
      <c r="E692">
        <v>5</v>
      </c>
      <c r="F692">
        <v>80190</v>
      </c>
      <c r="G692" s="1">
        <v>45646</v>
      </c>
      <c r="H692" t="s">
        <v>47</v>
      </c>
      <c r="I692">
        <v>2.2999999999999998</v>
      </c>
    </row>
    <row r="693" spans="1:9" x14ac:dyDescent="0.3">
      <c r="A693" t="s">
        <v>736</v>
      </c>
      <c r="B693" t="s">
        <v>30</v>
      </c>
      <c r="C693" t="s">
        <v>15</v>
      </c>
      <c r="D693">
        <v>43719.71</v>
      </c>
      <c r="E693">
        <v>5</v>
      </c>
      <c r="F693">
        <v>218598.55</v>
      </c>
      <c r="G693" s="1">
        <v>45608</v>
      </c>
      <c r="H693" t="s">
        <v>16</v>
      </c>
      <c r="I693">
        <v>3.4</v>
      </c>
    </row>
    <row r="694" spans="1:9" x14ac:dyDescent="0.3">
      <c r="A694" t="s">
        <v>737</v>
      </c>
      <c r="B694" t="s">
        <v>50</v>
      </c>
      <c r="C694" t="s">
        <v>11</v>
      </c>
      <c r="D694">
        <v>19669.48</v>
      </c>
      <c r="E694">
        <v>2</v>
      </c>
      <c r="F694">
        <v>39338.959999999999</v>
      </c>
      <c r="G694" s="1">
        <v>45429</v>
      </c>
      <c r="H694" t="s">
        <v>28</v>
      </c>
      <c r="I694">
        <v>2</v>
      </c>
    </row>
    <row r="695" spans="1:9" x14ac:dyDescent="0.3">
      <c r="A695" t="s">
        <v>738</v>
      </c>
      <c r="B695" t="s">
        <v>40</v>
      </c>
      <c r="C695" t="s">
        <v>19</v>
      </c>
      <c r="D695">
        <v>27396.01</v>
      </c>
      <c r="E695">
        <v>1</v>
      </c>
      <c r="F695">
        <v>27396.01</v>
      </c>
      <c r="G695" s="1">
        <v>45371</v>
      </c>
      <c r="H695" t="s">
        <v>42</v>
      </c>
      <c r="I695">
        <v>4.9000000000000004</v>
      </c>
    </row>
    <row r="696" spans="1:9" x14ac:dyDescent="0.3">
      <c r="A696" t="s">
        <v>739</v>
      </c>
      <c r="B696" t="s">
        <v>34</v>
      </c>
      <c r="C696" t="s">
        <v>15</v>
      </c>
      <c r="D696">
        <v>13763.17</v>
      </c>
      <c r="E696">
        <v>5</v>
      </c>
      <c r="F696">
        <v>68815.850000000006</v>
      </c>
      <c r="G696" s="1">
        <v>45434</v>
      </c>
      <c r="H696" t="s">
        <v>28</v>
      </c>
      <c r="I696">
        <v>3.6</v>
      </c>
    </row>
    <row r="697" spans="1:9" x14ac:dyDescent="0.3">
      <c r="A697" t="s">
        <v>740</v>
      </c>
      <c r="B697" t="s">
        <v>24</v>
      </c>
      <c r="C697" t="s">
        <v>25</v>
      </c>
      <c r="D697">
        <v>6421.63</v>
      </c>
      <c r="E697">
        <v>2</v>
      </c>
      <c r="F697">
        <v>12843.26</v>
      </c>
      <c r="G697" s="1">
        <v>45356</v>
      </c>
      <c r="H697" t="s">
        <v>56</v>
      </c>
      <c r="I697">
        <v>1.5</v>
      </c>
    </row>
    <row r="698" spans="1:9" x14ac:dyDescent="0.3">
      <c r="A698" t="s">
        <v>741</v>
      </c>
      <c r="B698" t="s">
        <v>100</v>
      </c>
      <c r="C698" t="s">
        <v>11</v>
      </c>
      <c r="D698">
        <v>4617.2</v>
      </c>
      <c r="E698">
        <v>4</v>
      </c>
      <c r="F698">
        <v>18468.8</v>
      </c>
      <c r="G698" s="1">
        <v>45370</v>
      </c>
      <c r="H698" t="s">
        <v>16</v>
      </c>
      <c r="I698">
        <v>3.8</v>
      </c>
    </row>
    <row r="699" spans="1:9" x14ac:dyDescent="0.3">
      <c r="A699" t="s">
        <v>742</v>
      </c>
      <c r="B699" t="s">
        <v>54</v>
      </c>
      <c r="C699" t="s">
        <v>15</v>
      </c>
      <c r="D699">
        <v>6022.31</v>
      </c>
      <c r="E699">
        <v>5</v>
      </c>
      <c r="F699">
        <v>30111.55</v>
      </c>
      <c r="G699" s="1">
        <v>45513</v>
      </c>
      <c r="H699" t="s">
        <v>47</v>
      </c>
      <c r="I699">
        <v>3.5</v>
      </c>
    </row>
    <row r="700" spans="1:9" x14ac:dyDescent="0.3">
      <c r="A700" t="s">
        <v>743</v>
      </c>
      <c r="B700" t="s">
        <v>18</v>
      </c>
      <c r="C700" t="s">
        <v>19</v>
      </c>
      <c r="D700">
        <v>38968.519999999997</v>
      </c>
      <c r="E700">
        <v>4</v>
      </c>
      <c r="F700">
        <v>155874.07999999999</v>
      </c>
      <c r="G700" s="1">
        <v>45600</v>
      </c>
      <c r="H700" t="s">
        <v>56</v>
      </c>
      <c r="I700">
        <v>3.9</v>
      </c>
    </row>
    <row r="701" spans="1:9" x14ac:dyDescent="0.3">
      <c r="A701" t="s">
        <v>744</v>
      </c>
      <c r="B701" t="s">
        <v>71</v>
      </c>
      <c r="C701" t="s">
        <v>22</v>
      </c>
      <c r="D701">
        <v>20435.34</v>
      </c>
      <c r="E701">
        <v>5</v>
      </c>
      <c r="F701">
        <v>102176.7</v>
      </c>
      <c r="G701" s="1">
        <v>45582</v>
      </c>
      <c r="H701" t="s">
        <v>47</v>
      </c>
      <c r="I701">
        <v>3.8</v>
      </c>
    </row>
    <row r="702" spans="1:9" x14ac:dyDescent="0.3">
      <c r="A702" t="s">
        <v>745</v>
      </c>
      <c r="B702" t="s">
        <v>36</v>
      </c>
      <c r="C702" t="s">
        <v>22</v>
      </c>
      <c r="D702">
        <v>25115.71</v>
      </c>
      <c r="E702">
        <v>2</v>
      </c>
      <c r="F702">
        <v>50231.42</v>
      </c>
      <c r="G702" s="1">
        <v>45522</v>
      </c>
      <c r="H702" t="s">
        <v>28</v>
      </c>
      <c r="I702">
        <v>2.5</v>
      </c>
    </row>
    <row r="703" spans="1:9" x14ac:dyDescent="0.3">
      <c r="A703" t="s">
        <v>746</v>
      </c>
      <c r="B703" t="s">
        <v>82</v>
      </c>
      <c r="C703" t="s">
        <v>22</v>
      </c>
      <c r="D703">
        <v>36115.480000000003</v>
      </c>
      <c r="E703">
        <v>1</v>
      </c>
      <c r="F703">
        <v>36115.480000000003</v>
      </c>
      <c r="G703" s="1">
        <v>45395</v>
      </c>
      <c r="H703" t="s">
        <v>16</v>
      </c>
      <c r="I703">
        <v>3</v>
      </c>
    </row>
    <row r="704" spans="1:9" x14ac:dyDescent="0.3">
      <c r="A704" t="s">
        <v>747</v>
      </c>
      <c r="B704" t="s">
        <v>32</v>
      </c>
      <c r="C704" t="s">
        <v>25</v>
      </c>
      <c r="D704">
        <v>13372.74</v>
      </c>
      <c r="E704">
        <v>2</v>
      </c>
      <c r="F704">
        <v>26745.48</v>
      </c>
      <c r="G704" s="1">
        <v>45543</v>
      </c>
      <c r="H704" t="s">
        <v>28</v>
      </c>
      <c r="I704">
        <v>1.7</v>
      </c>
    </row>
    <row r="705" spans="1:9" x14ac:dyDescent="0.3">
      <c r="A705" t="s">
        <v>748</v>
      </c>
      <c r="B705" t="s">
        <v>10</v>
      </c>
      <c r="C705" t="s">
        <v>11</v>
      </c>
      <c r="D705">
        <v>32472.59</v>
      </c>
      <c r="E705">
        <v>1</v>
      </c>
      <c r="F705">
        <v>32472.59</v>
      </c>
      <c r="G705" s="1">
        <v>45378</v>
      </c>
      <c r="H705" t="s">
        <v>28</v>
      </c>
      <c r="I705">
        <v>1</v>
      </c>
    </row>
    <row r="706" spans="1:9" x14ac:dyDescent="0.3">
      <c r="A706" t="s">
        <v>749</v>
      </c>
      <c r="B706" t="s">
        <v>93</v>
      </c>
      <c r="C706" t="s">
        <v>11</v>
      </c>
      <c r="D706">
        <v>12097.46</v>
      </c>
      <c r="E706">
        <v>5</v>
      </c>
      <c r="F706">
        <v>60487.3</v>
      </c>
      <c r="G706" s="1">
        <v>45433</v>
      </c>
      <c r="H706" t="s">
        <v>42</v>
      </c>
      <c r="I706">
        <v>4.2</v>
      </c>
    </row>
    <row r="707" spans="1:9" x14ac:dyDescent="0.3">
      <c r="A707" t="s">
        <v>750</v>
      </c>
      <c r="B707" t="s">
        <v>50</v>
      </c>
      <c r="C707" t="s">
        <v>11</v>
      </c>
      <c r="D707">
        <v>34446.42</v>
      </c>
      <c r="E707">
        <v>3</v>
      </c>
      <c r="F707">
        <v>103339.26</v>
      </c>
      <c r="G707" s="1">
        <v>45349</v>
      </c>
      <c r="H707" t="s">
        <v>16</v>
      </c>
      <c r="I707">
        <v>2.4</v>
      </c>
    </row>
    <row r="708" spans="1:9" x14ac:dyDescent="0.3">
      <c r="A708" t="s">
        <v>751</v>
      </c>
      <c r="B708" t="s">
        <v>10</v>
      </c>
      <c r="C708" t="s">
        <v>11</v>
      </c>
      <c r="D708">
        <v>13420.4</v>
      </c>
      <c r="E708">
        <v>4</v>
      </c>
      <c r="F708">
        <v>53681.599999999999</v>
      </c>
      <c r="G708" s="1">
        <v>45652</v>
      </c>
      <c r="H708" t="s">
        <v>42</v>
      </c>
      <c r="I708">
        <v>4.7</v>
      </c>
    </row>
    <row r="709" spans="1:9" x14ac:dyDescent="0.3">
      <c r="A709" t="s">
        <v>752</v>
      </c>
      <c r="B709" t="s">
        <v>46</v>
      </c>
      <c r="C709" t="s">
        <v>11</v>
      </c>
      <c r="D709">
        <v>20686.939999999999</v>
      </c>
      <c r="E709">
        <v>3</v>
      </c>
      <c r="F709">
        <v>62060.82</v>
      </c>
      <c r="G709" s="1">
        <v>45652</v>
      </c>
      <c r="H709" t="s">
        <v>28</v>
      </c>
      <c r="I709">
        <v>4.0999999999999996</v>
      </c>
    </row>
    <row r="710" spans="1:9" x14ac:dyDescent="0.3">
      <c r="A710" t="s">
        <v>753</v>
      </c>
      <c r="B710" t="s">
        <v>82</v>
      </c>
      <c r="C710" t="s">
        <v>22</v>
      </c>
      <c r="D710">
        <v>29418.33</v>
      </c>
      <c r="E710">
        <v>2</v>
      </c>
      <c r="F710">
        <v>58836.66</v>
      </c>
      <c r="G710" s="1">
        <v>45503</v>
      </c>
      <c r="H710" t="s">
        <v>42</v>
      </c>
      <c r="I710">
        <v>3.3</v>
      </c>
    </row>
    <row r="711" spans="1:9" x14ac:dyDescent="0.3">
      <c r="A711" t="s">
        <v>754</v>
      </c>
      <c r="B711" t="s">
        <v>100</v>
      </c>
      <c r="C711" t="s">
        <v>11</v>
      </c>
      <c r="D711">
        <v>6115.91</v>
      </c>
      <c r="E711">
        <v>1</v>
      </c>
      <c r="F711">
        <v>6115.91</v>
      </c>
      <c r="G711" s="1">
        <v>45426</v>
      </c>
      <c r="H711" t="s">
        <v>16</v>
      </c>
      <c r="I711">
        <v>1.5</v>
      </c>
    </row>
    <row r="712" spans="1:9" x14ac:dyDescent="0.3">
      <c r="A712" t="s">
        <v>755</v>
      </c>
      <c r="B712" t="s">
        <v>100</v>
      </c>
      <c r="C712" t="s">
        <v>11</v>
      </c>
      <c r="D712">
        <v>33404.120000000003</v>
      </c>
      <c r="E712">
        <v>3</v>
      </c>
      <c r="F712">
        <v>100212.36</v>
      </c>
      <c r="G712" s="1">
        <v>45525</v>
      </c>
      <c r="H712" t="s">
        <v>12</v>
      </c>
      <c r="I712">
        <v>2.7</v>
      </c>
    </row>
    <row r="713" spans="1:9" x14ac:dyDescent="0.3">
      <c r="A713" t="s">
        <v>756</v>
      </c>
      <c r="B713" t="s">
        <v>14</v>
      </c>
      <c r="C713" t="s">
        <v>15</v>
      </c>
      <c r="D713">
        <v>40046.19</v>
      </c>
      <c r="E713">
        <v>2</v>
      </c>
      <c r="F713">
        <v>80092.38</v>
      </c>
      <c r="G713" s="1">
        <v>45419</v>
      </c>
      <c r="H713" t="s">
        <v>16</v>
      </c>
      <c r="I713">
        <v>1.2</v>
      </c>
    </row>
    <row r="714" spans="1:9" x14ac:dyDescent="0.3">
      <c r="A714" t="s">
        <v>757</v>
      </c>
      <c r="B714" t="s">
        <v>100</v>
      </c>
      <c r="C714" t="s">
        <v>11</v>
      </c>
      <c r="D714">
        <v>22709.95</v>
      </c>
      <c r="E714">
        <v>2</v>
      </c>
      <c r="F714">
        <v>45419.9</v>
      </c>
      <c r="G714" s="1">
        <v>45589</v>
      </c>
      <c r="H714" t="s">
        <v>47</v>
      </c>
      <c r="I714">
        <v>4</v>
      </c>
    </row>
    <row r="715" spans="1:9" x14ac:dyDescent="0.3">
      <c r="A715" t="s">
        <v>758</v>
      </c>
      <c r="B715" t="s">
        <v>93</v>
      </c>
      <c r="C715" t="s">
        <v>11</v>
      </c>
      <c r="D715">
        <v>22315.58</v>
      </c>
      <c r="E715">
        <v>1</v>
      </c>
      <c r="F715">
        <v>22315.58</v>
      </c>
      <c r="G715" s="1">
        <v>45543</v>
      </c>
      <c r="H715" t="s">
        <v>16</v>
      </c>
      <c r="I715">
        <v>2.6</v>
      </c>
    </row>
    <row r="716" spans="1:9" x14ac:dyDescent="0.3">
      <c r="A716" t="s">
        <v>759</v>
      </c>
      <c r="B716" t="s">
        <v>14</v>
      </c>
      <c r="C716" t="s">
        <v>15</v>
      </c>
      <c r="D716">
        <v>47608.93</v>
      </c>
      <c r="E716">
        <v>1</v>
      </c>
      <c r="F716">
        <v>47608.93</v>
      </c>
      <c r="G716" s="1">
        <v>45347</v>
      </c>
      <c r="H716" t="s">
        <v>16</v>
      </c>
      <c r="I716">
        <v>4.2</v>
      </c>
    </row>
    <row r="717" spans="1:9" x14ac:dyDescent="0.3">
      <c r="A717" t="s">
        <v>760</v>
      </c>
      <c r="B717" t="s">
        <v>34</v>
      </c>
      <c r="C717" t="s">
        <v>15</v>
      </c>
      <c r="D717">
        <v>19846.64</v>
      </c>
      <c r="E717">
        <v>1</v>
      </c>
      <c r="F717">
        <v>19846.64</v>
      </c>
      <c r="G717" s="1">
        <v>45513</v>
      </c>
      <c r="H717" t="s">
        <v>56</v>
      </c>
      <c r="I717">
        <v>3.3</v>
      </c>
    </row>
    <row r="718" spans="1:9" x14ac:dyDescent="0.3">
      <c r="A718" t="s">
        <v>761</v>
      </c>
      <c r="B718" t="s">
        <v>93</v>
      </c>
      <c r="C718" t="s">
        <v>11</v>
      </c>
      <c r="D718">
        <v>5975.89</v>
      </c>
      <c r="E718">
        <v>3</v>
      </c>
      <c r="F718">
        <v>17927.669999999998</v>
      </c>
      <c r="G718" s="1">
        <v>45536</v>
      </c>
      <c r="H718" t="s">
        <v>16</v>
      </c>
      <c r="I718">
        <v>4.8</v>
      </c>
    </row>
    <row r="719" spans="1:9" x14ac:dyDescent="0.3">
      <c r="A719" t="s">
        <v>762</v>
      </c>
      <c r="B719" t="s">
        <v>93</v>
      </c>
      <c r="C719" t="s">
        <v>11</v>
      </c>
      <c r="D719">
        <v>49409.89</v>
      </c>
      <c r="E719">
        <v>4</v>
      </c>
      <c r="F719">
        <v>197639.56</v>
      </c>
      <c r="G719" s="1">
        <v>45561</v>
      </c>
      <c r="H719" t="s">
        <v>56</v>
      </c>
      <c r="I719">
        <v>4.0999999999999996</v>
      </c>
    </row>
    <row r="720" spans="1:9" x14ac:dyDescent="0.3">
      <c r="A720" t="s">
        <v>763</v>
      </c>
      <c r="B720" t="s">
        <v>151</v>
      </c>
      <c r="C720" t="s">
        <v>15</v>
      </c>
      <c r="D720">
        <v>13885.05</v>
      </c>
      <c r="E720">
        <v>5</v>
      </c>
      <c r="F720">
        <v>69425.25</v>
      </c>
      <c r="G720" s="1">
        <v>45577</v>
      </c>
      <c r="H720" t="s">
        <v>47</v>
      </c>
      <c r="I720">
        <v>3.5</v>
      </c>
    </row>
    <row r="721" spans="1:9" x14ac:dyDescent="0.3">
      <c r="A721" t="s">
        <v>764</v>
      </c>
      <c r="B721" t="s">
        <v>75</v>
      </c>
      <c r="C721" t="s">
        <v>19</v>
      </c>
      <c r="D721">
        <v>4080.78</v>
      </c>
      <c r="E721">
        <v>3</v>
      </c>
      <c r="F721">
        <v>12242.34</v>
      </c>
      <c r="G721" s="1">
        <v>45390</v>
      </c>
      <c r="H721" t="s">
        <v>47</v>
      </c>
      <c r="I721">
        <v>4.9000000000000004</v>
      </c>
    </row>
    <row r="722" spans="1:9" x14ac:dyDescent="0.3">
      <c r="A722" t="s">
        <v>765</v>
      </c>
      <c r="B722" t="s">
        <v>82</v>
      </c>
      <c r="C722" t="s">
        <v>22</v>
      </c>
      <c r="D722">
        <v>27306.31</v>
      </c>
      <c r="E722">
        <v>3</v>
      </c>
      <c r="F722">
        <v>81918.929999999993</v>
      </c>
      <c r="G722" s="1">
        <v>45369</v>
      </c>
      <c r="H722" t="s">
        <v>47</v>
      </c>
      <c r="I722">
        <v>3.8</v>
      </c>
    </row>
    <row r="723" spans="1:9" x14ac:dyDescent="0.3">
      <c r="A723" t="s">
        <v>766</v>
      </c>
      <c r="B723" t="s">
        <v>24</v>
      </c>
      <c r="C723" t="s">
        <v>25</v>
      </c>
      <c r="D723">
        <v>16580.240000000002</v>
      </c>
      <c r="E723">
        <v>5</v>
      </c>
      <c r="F723">
        <v>82901.2</v>
      </c>
      <c r="G723" s="1">
        <v>45628</v>
      </c>
      <c r="H723" t="s">
        <v>56</v>
      </c>
      <c r="I723">
        <v>4.5999999999999996</v>
      </c>
    </row>
    <row r="724" spans="1:9" x14ac:dyDescent="0.3">
      <c r="A724" t="s">
        <v>767</v>
      </c>
      <c r="B724" t="s">
        <v>46</v>
      </c>
      <c r="C724" t="s">
        <v>11</v>
      </c>
      <c r="D724">
        <v>12798.83</v>
      </c>
      <c r="E724">
        <v>4</v>
      </c>
      <c r="F724">
        <v>51195.32</v>
      </c>
      <c r="G724" s="1">
        <v>45602</v>
      </c>
      <c r="H724" t="s">
        <v>16</v>
      </c>
      <c r="I724">
        <v>5</v>
      </c>
    </row>
    <row r="725" spans="1:9" x14ac:dyDescent="0.3">
      <c r="A725" t="s">
        <v>768</v>
      </c>
      <c r="B725" t="s">
        <v>10</v>
      </c>
      <c r="C725" t="s">
        <v>11</v>
      </c>
      <c r="D725">
        <v>18574.12</v>
      </c>
      <c r="E725">
        <v>1</v>
      </c>
      <c r="F725">
        <v>18574.12</v>
      </c>
      <c r="G725" s="1">
        <v>45579</v>
      </c>
      <c r="H725" t="s">
        <v>28</v>
      </c>
      <c r="I725">
        <v>3.3</v>
      </c>
    </row>
    <row r="726" spans="1:9" x14ac:dyDescent="0.3">
      <c r="A726" t="s">
        <v>769</v>
      </c>
      <c r="B726" t="s">
        <v>24</v>
      </c>
      <c r="C726" t="s">
        <v>25</v>
      </c>
      <c r="D726">
        <v>30836.98</v>
      </c>
      <c r="E726">
        <v>4</v>
      </c>
      <c r="F726">
        <v>123347.92</v>
      </c>
      <c r="G726" s="1">
        <v>45336</v>
      </c>
      <c r="H726" t="s">
        <v>28</v>
      </c>
      <c r="I726">
        <v>1.1000000000000001</v>
      </c>
    </row>
    <row r="727" spans="1:9" x14ac:dyDescent="0.3">
      <c r="A727" t="s">
        <v>770</v>
      </c>
      <c r="B727" t="s">
        <v>30</v>
      </c>
      <c r="C727" t="s">
        <v>15</v>
      </c>
      <c r="D727">
        <v>48620.13</v>
      </c>
      <c r="E727">
        <v>4</v>
      </c>
      <c r="F727">
        <v>194480.52</v>
      </c>
      <c r="G727" s="1">
        <v>45494</v>
      </c>
      <c r="H727" t="s">
        <v>12</v>
      </c>
      <c r="I727">
        <v>1.9</v>
      </c>
    </row>
    <row r="728" spans="1:9" x14ac:dyDescent="0.3">
      <c r="A728" t="s">
        <v>771</v>
      </c>
      <c r="B728" t="s">
        <v>50</v>
      </c>
      <c r="C728" t="s">
        <v>11</v>
      </c>
      <c r="D728">
        <v>16390.439999999999</v>
      </c>
      <c r="E728">
        <v>2</v>
      </c>
      <c r="F728">
        <v>32780.879999999997</v>
      </c>
      <c r="G728" s="1">
        <v>45516</v>
      </c>
      <c r="H728" t="s">
        <v>47</v>
      </c>
      <c r="I728">
        <v>4.2</v>
      </c>
    </row>
    <row r="729" spans="1:9" x14ac:dyDescent="0.3">
      <c r="A729" t="s">
        <v>772</v>
      </c>
      <c r="B729" t="s">
        <v>18</v>
      </c>
      <c r="C729" t="s">
        <v>19</v>
      </c>
      <c r="D729">
        <v>18862.009999999998</v>
      </c>
      <c r="E729">
        <v>3</v>
      </c>
      <c r="F729">
        <v>56586.03</v>
      </c>
      <c r="G729" s="1">
        <v>45636</v>
      </c>
      <c r="H729" t="s">
        <v>28</v>
      </c>
      <c r="I729">
        <v>3</v>
      </c>
    </row>
    <row r="730" spans="1:9" x14ac:dyDescent="0.3">
      <c r="A730" t="s">
        <v>773</v>
      </c>
      <c r="B730" t="s">
        <v>21</v>
      </c>
      <c r="C730" t="s">
        <v>22</v>
      </c>
      <c r="D730">
        <v>11448.28</v>
      </c>
      <c r="E730">
        <v>1</v>
      </c>
      <c r="F730">
        <v>11448.28</v>
      </c>
      <c r="G730" s="1">
        <v>45508</v>
      </c>
      <c r="H730" t="s">
        <v>56</v>
      </c>
      <c r="I730">
        <v>3.6</v>
      </c>
    </row>
    <row r="731" spans="1:9" x14ac:dyDescent="0.3">
      <c r="A731" t="s">
        <v>774</v>
      </c>
      <c r="B731" t="s">
        <v>69</v>
      </c>
      <c r="C731" t="s">
        <v>19</v>
      </c>
      <c r="D731">
        <v>24384.05</v>
      </c>
      <c r="E731">
        <v>2</v>
      </c>
      <c r="F731">
        <v>48768.1</v>
      </c>
      <c r="G731" s="1">
        <v>45499</v>
      </c>
      <c r="H731" t="s">
        <v>12</v>
      </c>
      <c r="I731">
        <v>3</v>
      </c>
    </row>
    <row r="732" spans="1:9" x14ac:dyDescent="0.3">
      <c r="A732" t="s">
        <v>775</v>
      </c>
      <c r="B732" t="s">
        <v>38</v>
      </c>
      <c r="C732" t="s">
        <v>19</v>
      </c>
      <c r="D732">
        <v>18179.43</v>
      </c>
      <c r="E732">
        <v>1</v>
      </c>
      <c r="F732">
        <v>18179.43</v>
      </c>
      <c r="G732" s="1">
        <v>45371</v>
      </c>
      <c r="H732" t="s">
        <v>28</v>
      </c>
      <c r="I732">
        <v>4.3</v>
      </c>
    </row>
    <row r="733" spans="1:9" x14ac:dyDescent="0.3">
      <c r="A733" t="s">
        <v>776</v>
      </c>
      <c r="B733" t="s">
        <v>24</v>
      </c>
      <c r="C733" t="s">
        <v>25</v>
      </c>
      <c r="D733">
        <v>22430.51</v>
      </c>
      <c r="E733">
        <v>1</v>
      </c>
      <c r="F733">
        <v>22430.51</v>
      </c>
      <c r="G733" s="1">
        <v>45554</v>
      </c>
      <c r="H733" t="s">
        <v>47</v>
      </c>
      <c r="I733">
        <v>4.5</v>
      </c>
    </row>
    <row r="734" spans="1:9" x14ac:dyDescent="0.3">
      <c r="A734" t="s">
        <v>777</v>
      </c>
      <c r="B734" t="s">
        <v>120</v>
      </c>
      <c r="C734" t="s">
        <v>25</v>
      </c>
      <c r="D734">
        <v>10241.780000000001</v>
      </c>
      <c r="E734">
        <v>2</v>
      </c>
      <c r="F734">
        <v>20483.560000000001</v>
      </c>
      <c r="G734" s="1">
        <v>45672</v>
      </c>
      <c r="H734" t="s">
        <v>28</v>
      </c>
      <c r="I734">
        <v>3.7</v>
      </c>
    </row>
    <row r="735" spans="1:9" x14ac:dyDescent="0.3">
      <c r="A735" t="s">
        <v>778</v>
      </c>
      <c r="B735" t="s">
        <v>151</v>
      </c>
      <c r="C735" t="s">
        <v>15</v>
      </c>
      <c r="D735">
        <v>17800.740000000002</v>
      </c>
      <c r="E735">
        <v>3</v>
      </c>
      <c r="F735">
        <v>53402.22</v>
      </c>
      <c r="G735" s="1">
        <v>45601</v>
      </c>
      <c r="H735" t="s">
        <v>28</v>
      </c>
      <c r="I735">
        <v>2.9</v>
      </c>
    </row>
    <row r="736" spans="1:9" x14ac:dyDescent="0.3">
      <c r="A736" t="s">
        <v>779</v>
      </c>
      <c r="B736" t="s">
        <v>46</v>
      </c>
      <c r="C736" t="s">
        <v>11</v>
      </c>
      <c r="D736">
        <v>16174.96</v>
      </c>
      <c r="E736">
        <v>5</v>
      </c>
      <c r="F736">
        <v>80874.8</v>
      </c>
      <c r="G736" s="1">
        <v>45341</v>
      </c>
      <c r="H736" t="s">
        <v>47</v>
      </c>
      <c r="I736">
        <v>4.9000000000000004</v>
      </c>
    </row>
    <row r="737" spans="1:9" x14ac:dyDescent="0.3">
      <c r="A737" t="s">
        <v>780</v>
      </c>
      <c r="B737" t="s">
        <v>24</v>
      </c>
      <c r="C737" t="s">
        <v>25</v>
      </c>
      <c r="D737">
        <v>2370.61</v>
      </c>
      <c r="E737">
        <v>5</v>
      </c>
      <c r="F737">
        <v>11853.05</v>
      </c>
      <c r="G737" s="1">
        <v>45451</v>
      </c>
      <c r="H737" t="s">
        <v>12</v>
      </c>
      <c r="I737">
        <v>3.1</v>
      </c>
    </row>
    <row r="738" spans="1:9" x14ac:dyDescent="0.3">
      <c r="A738" t="s">
        <v>781</v>
      </c>
      <c r="B738" t="s">
        <v>69</v>
      </c>
      <c r="C738" t="s">
        <v>19</v>
      </c>
      <c r="D738">
        <v>139.85</v>
      </c>
      <c r="E738">
        <v>3</v>
      </c>
      <c r="F738">
        <v>419.55</v>
      </c>
      <c r="G738" s="1">
        <v>45549</v>
      </c>
      <c r="H738" t="s">
        <v>16</v>
      </c>
      <c r="I738">
        <v>2</v>
      </c>
    </row>
    <row r="739" spans="1:9" x14ac:dyDescent="0.3">
      <c r="A739" t="s">
        <v>782</v>
      </c>
      <c r="B739" t="s">
        <v>21</v>
      </c>
      <c r="C739" t="s">
        <v>22</v>
      </c>
      <c r="D739">
        <v>2519.1799999999998</v>
      </c>
      <c r="E739">
        <v>1</v>
      </c>
      <c r="F739">
        <v>2519.1799999999998</v>
      </c>
      <c r="G739" s="1">
        <v>45627</v>
      </c>
      <c r="H739" t="s">
        <v>56</v>
      </c>
      <c r="I739">
        <v>2.4</v>
      </c>
    </row>
    <row r="740" spans="1:9" x14ac:dyDescent="0.3">
      <c r="A740" t="s">
        <v>783</v>
      </c>
      <c r="B740" t="s">
        <v>69</v>
      </c>
      <c r="C740" t="s">
        <v>19</v>
      </c>
      <c r="D740">
        <v>32626.32</v>
      </c>
      <c r="E740">
        <v>4</v>
      </c>
      <c r="F740">
        <v>130505.28</v>
      </c>
      <c r="G740" s="1">
        <v>45586</v>
      </c>
      <c r="H740" t="s">
        <v>16</v>
      </c>
      <c r="I740">
        <v>2.9</v>
      </c>
    </row>
    <row r="741" spans="1:9" x14ac:dyDescent="0.3">
      <c r="A741" t="s">
        <v>784</v>
      </c>
      <c r="B741" t="s">
        <v>44</v>
      </c>
      <c r="C741" t="s">
        <v>22</v>
      </c>
      <c r="D741">
        <v>14636.55</v>
      </c>
      <c r="E741">
        <v>3</v>
      </c>
      <c r="F741">
        <v>43909.65</v>
      </c>
      <c r="G741" s="1">
        <v>45421</v>
      </c>
      <c r="H741" t="s">
        <v>47</v>
      </c>
      <c r="I741">
        <v>3.6</v>
      </c>
    </row>
    <row r="742" spans="1:9" x14ac:dyDescent="0.3">
      <c r="A742" t="s">
        <v>785</v>
      </c>
      <c r="B742" t="s">
        <v>18</v>
      </c>
      <c r="C742" t="s">
        <v>19</v>
      </c>
      <c r="D742">
        <v>19549.439999999999</v>
      </c>
      <c r="E742">
        <v>5</v>
      </c>
      <c r="F742">
        <v>97747.199999999997</v>
      </c>
      <c r="G742" s="1">
        <v>45511</v>
      </c>
      <c r="H742" t="s">
        <v>28</v>
      </c>
      <c r="I742">
        <v>1.7</v>
      </c>
    </row>
    <row r="743" spans="1:9" x14ac:dyDescent="0.3">
      <c r="A743" t="s">
        <v>786</v>
      </c>
      <c r="B743" t="s">
        <v>82</v>
      </c>
      <c r="C743" t="s">
        <v>22</v>
      </c>
      <c r="D743">
        <v>37195.730000000003</v>
      </c>
      <c r="E743">
        <v>2</v>
      </c>
      <c r="F743">
        <v>74391.460000000006</v>
      </c>
      <c r="G743" s="1">
        <v>45624</v>
      </c>
      <c r="H743" t="s">
        <v>16</v>
      </c>
      <c r="I743">
        <v>2.7</v>
      </c>
    </row>
    <row r="744" spans="1:9" x14ac:dyDescent="0.3">
      <c r="A744" t="s">
        <v>787</v>
      </c>
      <c r="B744" t="s">
        <v>120</v>
      </c>
      <c r="C744" t="s">
        <v>25</v>
      </c>
      <c r="D744">
        <v>34821.93</v>
      </c>
      <c r="E744">
        <v>3</v>
      </c>
      <c r="F744">
        <v>104465.79</v>
      </c>
      <c r="G744" s="1">
        <v>45585</v>
      </c>
      <c r="H744" t="s">
        <v>47</v>
      </c>
      <c r="I744">
        <v>4.4000000000000004</v>
      </c>
    </row>
    <row r="745" spans="1:9" x14ac:dyDescent="0.3">
      <c r="A745" t="s">
        <v>788</v>
      </c>
      <c r="B745" t="s">
        <v>40</v>
      </c>
      <c r="C745" t="s">
        <v>19</v>
      </c>
      <c r="D745">
        <v>28630.92</v>
      </c>
      <c r="E745">
        <v>4</v>
      </c>
      <c r="F745">
        <v>114523.68</v>
      </c>
      <c r="G745" s="1">
        <v>45675</v>
      </c>
      <c r="H745" t="s">
        <v>47</v>
      </c>
      <c r="I745">
        <v>4.2</v>
      </c>
    </row>
    <row r="746" spans="1:9" x14ac:dyDescent="0.3">
      <c r="A746" t="s">
        <v>789</v>
      </c>
      <c r="B746" t="s">
        <v>54</v>
      </c>
      <c r="C746" t="s">
        <v>15</v>
      </c>
      <c r="D746">
        <v>25059.360000000001</v>
      </c>
      <c r="E746">
        <v>5</v>
      </c>
      <c r="F746">
        <v>125296.8</v>
      </c>
      <c r="G746" s="1">
        <v>45358</v>
      </c>
      <c r="H746" t="s">
        <v>16</v>
      </c>
      <c r="I746">
        <v>2.4</v>
      </c>
    </row>
    <row r="747" spans="1:9" x14ac:dyDescent="0.3">
      <c r="A747" t="s">
        <v>790</v>
      </c>
      <c r="B747" t="s">
        <v>120</v>
      </c>
      <c r="C747" t="s">
        <v>25</v>
      </c>
      <c r="D747">
        <v>47795.34</v>
      </c>
      <c r="E747">
        <v>1</v>
      </c>
      <c r="F747">
        <v>47795.34</v>
      </c>
      <c r="G747" s="1">
        <v>45639</v>
      </c>
      <c r="H747" t="s">
        <v>42</v>
      </c>
      <c r="I747">
        <v>2.2999999999999998</v>
      </c>
    </row>
    <row r="748" spans="1:9" x14ac:dyDescent="0.3">
      <c r="A748" t="s">
        <v>791</v>
      </c>
      <c r="B748" t="s">
        <v>30</v>
      </c>
      <c r="C748" t="s">
        <v>15</v>
      </c>
      <c r="D748">
        <v>36918.199999999997</v>
      </c>
      <c r="E748">
        <v>4</v>
      </c>
      <c r="F748">
        <v>147672.79999999999</v>
      </c>
      <c r="G748" s="1">
        <v>45350</v>
      </c>
      <c r="H748" t="s">
        <v>28</v>
      </c>
      <c r="I748">
        <v>3.2</v>
      </c>
    </row>
    <row r="749" spans="1:9" x14ac:dyDescent="0.3">
      <c r="A749" t="s">
        <v>792</v>
      </c>
      <c r="B749" t="s">
        <v>40</v>
      </c>
      <c r="C749" t="s">
        <v>19</v>
      </c>
      <c r="D749">
        <v>3394.38</v>
      </c>
      <c r="E749">
        <v>3</v>
      </c>
      <c r="F749">
        <v>10183.14</v>
      </c>
      <c r="G749" s="1">
        <v>45469</v>
      </c>
      <c r="H749" t="s">
        <v>16</v>
      </c>
      <c r="I749">
        <v>3.5</v>
      </c>
    </row>
    <row r="750" spans="1:9" x14ac:dyDescent="0.3">
      <c r="A750" t="s">
        <v>793</v>
      </c>
      <c r="B750" t="s">
        <v>44</v>
      </c>
      <c r="C750" t="s">
        <v>22</v>
      </c>
      <c r="D750">
        <v>11142.38</v>
      </c>
      <c r="E750">
        <v>5</v>
      </c>
      <c r="F750">
        <v>55711.9</v>
      </c>
      <c r="G750" s="1">
        <v>45511</v>
      </c>
      <c r="H750" t="s">
        <v>47</v>
      </c>
      <c r="I750">
        <v>3.3</v>
      </c>
    </row>
    <row r="751" spans="1:9" x14ac:dyDescent="0.3">
      <c r="A751" t="s">
        <v>794</v>
      </c>
      <c r="B751" t="s">
        <v>24</v>
      </c>
      <c r="C751" t="s">
        <v>25</v>
      </c>
      <c r="D751">
        <v>18602.849999999999</v>
      </c>
      <c r="E751">
        <v>5</v>
      </c>
      <c r="F751">
        <v>93014.25</v>
      </c>
      <c r="G751" s="1">
        <v>45590</v>
      </c>
      <c r="H751" t="s">
        <v>16</v>
      </c>
      <c r="I751">
        <v>4.3</v>
      </c>
    </row>
    <row r="752" spans="1:9" x14ac:dyDescent="0.3">
      <c r="A752" t="s">
        <v>795</v>
      </c>
      <c r="B752" t="s">
        <v>34</v>
      </c>
      <c r="C752" t="s">
        <v>15</v>
      </c>
      <c r="D752">
        <v>13557.11</v>
      </c>
      <c r="E752">
        <v>5</v>
      </c>
      <c r="F752">
        <v>67785.55</v>
      </c>
      <c r="G752" s="1">
        <v>45437</v>
      </c>
      <c r="H752" t="s">
        <v>56</v>
      </c>
      <c r="I752">
        <v>1.3</v>
      </c>
    </row>
    <row r="753" spans="1:9" x14ac:dyDescent="0.3">
      <c r="A753" t="s">
        <v>796</v>
      </c>
      <c r="B753" t="s">
        <v>27</v>
      </c>
      <c r="C753" t="s">
        <v>25</v>
      </c>
      <c r="D753">
        <v>13559.18</v>
      </c>
      <c r="E753">
        <v>1</v>
      </c>
      <c r="F753">
        <v>13559.18</v>
      </c>
      <c r="G753" s="1">
        <v>45515</v>
      </c>
      <c r="H753" t="s">
        <v>12</v>
      </c>
      <c r="I753">
        <v>1</v>
      </c>
    </row>
    <row r="754" spans="1:9" x14ac:dyDescent="0.3">
      <c r="A754" t="s">
        <v>797</v>
      </c>
      <c r="B754" t="s">
        <v>36</v>
      </c>
      <c r="C754" t="s">
        <v>22</v>
      </c>
      <c r="D754">
        <v>41926.03</v>
      </c>
      <c r="E754">
        <v>2</v>
      </c>
      <c r="F754">
        <v>83852.06</v>
      </c>
      <c r="G754" s="1">
        <v>45689</v>
      </c>
      <c r="H754" t="s">
        <v>42</v>
      </c>
      <c r="I754">
        <v>3.6</v>
      </c>
    </row>
    <row r="755" spans="1:9" x14ac:dyDescent="0.3">
      <c r="A755" t="s">
        <v>798</v>
      </c>
      <c r="B755" t="s">
        <v>40</v>
      </c>
      <c r="C755" t="s">
        <v>19</v>
      </c>
      <c r="D755">
        <v>12930.46</v>
      </c>
      <c r="E755">
        <v>4</v>
      </c>
      <c r="F755">
        <v>51721.84</v>
      </c>
      <c r="G755" s="1">
        <v>45656</v>
      </c>
      <c r="H755" t="s">
        <v>56</v>
      </c>
      <c r="I755">
        <v>1.9</v>
      </c>
    </row>
    <row r="756" spans="1:9" x14ac:dyDescent="0.3">
      <c r="A756" t="s">
        <v>799</v>
      </c>
      <c r="B756" t="s">
        <v>71</v>
      </c>
      <c r="C756" t="s">
        <v>22</v>
      </c>
      <c r="D756">
        <v>37355.589999999997</v>
      </c>
      <c r="E756">
        <v>3</v>
      </c>
      <c r="F756">
        <v>112066.77</v>
      </c>
      <c r="G756" s="1">
        <v>45481</v>
      </c>
      <c r="H756" t="s">
        <v>28</v>
      </c>
      <c r="I756">
        <v>1.7</v>
      </c>
    </row>
    <row r="757" spans="1:9" x14ac:dyDescent="0.3">
      <c r="A757" t="s">
        <v>800</v>
      </c>
      <c r="B757" t="s">
        <v>40</v>
      </c>
      <c r="C757" t="s">
        <v>19</v>
      </c>
      <c r="D757">
        <v>18385.32</v>
      </c>
      <c r="E757">
        <v>5</v>
      </c>
      <c r="F757">
        <v>91926.6</v>
      </c>
      <c r="G757" s="1">
        <v>45427</v>
      </c>
      <c r="H757" t="s">
        <v>16</v>
      </c>
      <c r="I757">
        <v>3.8</v>
      </c>
    </row>
    <row r="758" spans="1:9" x14ac:dyDescent="0.3">
      <c r="A758" t="s">
        <v>801</v>
      </c>
      <c r="B758" t="s">
        <v>50</v>
      </c>
      <c r="C758" t="s">
        <v>11</v>
      </c>
      <c r="D758">
        <v>5299.58</v>
      </c>
      <c r="E758">
        <v>4</v>
      </c>
      <c r="F758">
        <v>21198.32</v>
      </c>
      <c r="G758" s="1">
        <v>45531</v>
      </c>
      <c r="H758" t="s">
        <v>12</v>
      </c>
      <c r="I758">
        <v>2.8</v>
      </c>
    </row>
    <row r="759" spans="1:9" x14ac:dyDescent="0.3">
      <c r="A759" t="s">
        <v>802</v>
      </c>
      <c r="B759" t="s">
        <v>10</v>
      </c>
      <c r="C759" t="s">
        <v>11</v>
      </c>
      <c r="D759">
        <v>7649.41</v>
      </c>
      <c r="E759">
        <v>4</v>
      </c>
      <c r="F759">
        <v>30597.64</v>
      </c>
      <c r="G759" s="1">
        <v>45398</v>
      </c>
      <c r="H759" t="s">
        <v>16</v>
      </c>
      <c r="I759">
        <v>1.6</v>
      </c>
    </row>
    <row r="760" spans="1:9" x14ac:dyDescent="0.3">
      <c r="A760" t="s">
        <v>803</v>
      </c>
      <c r="B760" t="s">
        <v>27</v>
      </c>
      <c r="C760" t="s">
        <v>25</v>
      </c>
      <c r="D760">
        <v>36950.980000000003</v>
      </c>
      <c r="E760">
        <v>4</v>
      </c>
      <c r="F760">
        <v>147803.92000000001</v>
      </c>
      <c r="G760" s="1">
        <v>45572</v>
      </c>
      <c r="H760" t="s">
        <v>12</v>
      </c>
      <c r="I760">
        <v>3</v>
      </c>
    </row>
    <row r="761" spans="1:9" x14ac:dyDescent="0.3">
      <c r="A761" t="s">
        <v>804</v>
      </c>
      <c r="B761" t="s">
        <v>46</v>
      </c>
      <c r="C761" t="s">
        <v>11</v>
      </c>
      <c r="D761">
        <v>2136.9899999999998</v>
      </c>
      <c r="E761">
        <v>1</v>
      </c>
      <c r="F761">
        <v>2136.9899999999998</v>
      </c>
      <c r="G761" s="1">
        <v>45542</v>
      </c>
      <c r="H761" t="s">
        <v>56</v>
      </c>
      <c r="I761">
        <v>2.2000000000000002</v>
      </c>
    </row>
    <row r="762" spans="1:9" x14ac:dyDescent="0.3">
      <c r="A762" t="s">
        <v>805</v>
      </c>
      <c r="B762" t="s">
        <v>120</v>
      </c>
      <c r="C762" t="s">
        <v>25</v>
      </c>
      <c r="D762">
        <v>19693.93</v>
      </c>
      <c r="E762">
        <v>5</v>
      </c>
      <c r="F762">
        <v>98469.65</v>
      </c>
      <c r="G762" s="1">
        <v>45395</v>
      </c>
      <c r="H762" t="s">
        <v>28</v>
      </c>
      <c r="I762">
        <v>1.9</v>
      </c>
    </row>
    <row r="763" spans="1:9" x14ac:dyDescent="0.3">
      <c r="A763" t="s">
        <v>806</v>
      </c>
      <c r="B763" t="s">
        <v>120</v>
      </c>
      <c r="C763" t="s">
        <v>25</v>
      </c>
      <c r="D763">
        <v>16179.61</v>
      </c>
      <c r="E763">
        <v>2</v>
      </c>
      <c r="F763">
        <v>32359.22</v>
      </c>
      <c r="G763" s="1">
        <v>45607</v>
      </c>
      <c r="H763" t="s">
        <v>12</v>
      </c>
      <c r="I763">
        <v>2.7</v>
      </c>
    </row>
    <row r="764" spans="1:9" x14ac:dyDescent="0.3">
      <c r="A764" t="s">
        <v>807</v>
      </c>
      <c r="B764" t="s">
        <v>10</v>
      </c>
      <c r="C764" t="s">
        <v>11</v>
      </c>
      <c r="D764">
        <v>45910.23</v>
      </c>
      <c r="E764">
        <v>4</v>
      </c>
      <c r="F764">
        <v>183640.92</v>
      </c>
      <c r="G764" s="1">
        <v>45652</v>
      </c>
      <c r="H764" t="s">
        <v>56</v>
      </c>
      <c r="I764">
        <v>1.6</v>
      </c>
    </row>
    <row r="765" spans="1:9" x14ac:dyDescent="0.3">
      <c r="A765" t="s">
        <v>808</v>
      </c>
      <c r="B765" t="s">
        <v>40</v>
      </c>
      <c r="C765" t="s">
        <v>19</v>
      </c>
      <c r="D765">
        <v>6685.9</v>
      </c>
      <c r="E765">
        <v>2</v>
      </c>
      <c r="F765">
        <v>13371.8</v>
      </c>
      <c r="G765" s="1">
        <v>45342</v>
      </c>
      <c r="H765" t="s">
        <v>12</v>
      </c>
      <c r="I765">
        <v>2</v>
      </c>
    </row>
    <row r="766" spans="1:9" x14ac:dyDescent="0.3">
      <c r="A766" t="s">
        <v>809</v>
      </c>
      <c r="B766" t="s">
        <v>100</v>
      </c>
      <c r="C766" t="s">
        <v>11</v>
      </c>
      <c r="D766">
        <v>2258.89</v>
      </c>
      <c r="E766">
        <v>3</v>
      </c>
      <c r="F766">
        <v>6776.67</v>
      </c>
      <c r="G766" s="1">
        <v>45547</v>
      </c>
      <c r="H766" t="s">
        <v>28</v>
      </c>
      <c r="I766">
        <v>2</v>
      </c>
    </row>
    <row r="767" spans="1:9" x14ac:dyDescent="0.3">
      <c r="A767" t="s">
        <v>810</v>
      </c>
      <c r="B767" t="s">
        <v>10</v>
      </c>
      <c r="C767" t="s">
        <v>11</v>
      </c>
      <c r="D767">
        <v>25282.52</v>
      </c>
      <c r="E767">
        <v>1</v>
      </c>
      <c r="F767">
        <v>25282.52</v>
      </c>
      <c r="G767" s="1">
        <v>45541</v>
      </c>
      <c r="H767" t="s">
        <v>47</v>
      </c>
      <c r="I767">
        <v>4.5</v>
      </c>
    </row>
    <row r="768" spans="1:9" x14ac:dyDescent="0.3">
      <c r="A768" t="s">
        <v>811</v>
      </c>
      <c r="B768" t="s">
        <v>75</v>
      </c>
      <c r="C768" t="s">
        <v>19</v>
      </c>
      <c r="D768">
        <v>11461.72</v>
      </c>
      <c r="E768">
        <v>5</v>
      </c>
      <c r="F768">
        <v>57308.6</v>
      </c>
      <c r="G768" s="1">
        <v>45602</v>
      </c>
      <c r="H768" t="s">
        <v>12</v>
      </c>
      <c r="I768">
        <v>3</v>
      </c>
    </row>
    <row r="769" spans="1:9" x14ac:dyDescent="0.3">
      <c r="A769" t="s">
        <v>812</v>
      </c>
      <c r="B769" t="s">
        <v>75</v>
      </c>
      <c r="C769" t="s">
        <v>19</v>
      </c>
      <c r="D769">
        <v>17915.599999999999</v>
      </c>
      <c r="E769">
        <v>4</v>
      </c>
      <c r="F769">
        <v>71662.399999999994</v>
      </c>
      <c r="G769" s="1">
        <v>45532</v>
      </c>
      <c r="H769" t="s">
        <v>16</v>
      </c>
      <c r="I769">
        <v>1.8</v>
      </c>
    </row>
    <row r="770" spans="1:9" x14ac:dyDescent="0.3">
      <c r="A770" t="s">
        <v>813</v>
      </c>
      <c r="B770" t="s">
        <v>40</v>
      </c>
      <c r="C770" t="s">
        <v>19</v>
      </c>
      <c r="D770">
        <v>22703.03</v>
      </c>
      <c r="E770">
        <v>2</v>
      </c>
      <c r="F770">
        <v>45406.06</v>
      </c>
      <c r="G770" s="1">
        <v>45418</v>
      </c>
      <c r="H770" t="s">
        <v>56</v>
      </c>
      <c r="I770">
        <v>5</v>
      </c>
    </row>
    <row r="771" spans="1:9" x14ac:dyDescent="0.3">
      <c r="A771" t="s">
        <v>814</v>
      </c>
      <c r="B771" t="s">
        <v>82</v>
      </c>
      <c r="C771" t="s">
        <v>22</v>
      </c>
      <c r="D771">
        <v>42210.82</v>
      </c>
      <c r="E771">
        <v>2</v>
      </c>
      <c r="F771">
        <v>84421.64</v>
      </c>
      <c r="G771" s="1">
        <v>45375</v>
      </c>
      <c r="H771" t="s">
        <v>28</v>
      </c>
      <c r="I771">
        <v>2.8</v>
      </c>
    </row>
    <row r="772" spans="1:9" x14ac:dyDescent="0.3">
      <c r="A772" t="s">
        <v>815</v>
      </c>
      <c r="B772" t="s">
        <v>120</v>
      </c>
      <c r="C772" t="s">
        <v>25</v>
      </c>
      <c r="D772">
        <v>7355.5</v>
      </c>
      <c r="E772">
        <v>3</v>
      </c>
      <c r="F772">
        <v>22066.5</v>
      </c>
      <c r="G772" s="1">
        <v>45684</v>
      </c>
      <c r="H772" t="s">
        <v>56</v>
      </c>
      <c r="I772">
        <v>2</v>
      </c>
    </row>
    <row r="773" spans="1:9" x14ac:dyDescent="0.3">
      <c r="A773" t="s">
        <v>816</v>
      </c>
      <c r="B773" t="s">
        <v>32</v>
      </c>
      <c r="C773" t="s">
        <v>25</v>
      </c>
      <c r="D773">
        <v>13879</v>
      </c>
      <c r="E773">
        <v>1</v>
      </c>
      <c r="F773">
        <v>13879</v>
      </c>
      <c r="G773" s="1">
        <v>45455</v>
      </c>
      <c r="H773" t="s">
        <v>42</v>
      </c>
      <c r="I773">
        <v>2.5</v>
      </c>
    </row>
    <row r="774" spans="1:9" x14ac:dyDescent="0.3">
      <c r="A774" t="s">
        <v>817</v>
      </c>
      <c r="B774" t="s">
        <v>120</v>
      </c>
      <c r="C774" t="s">
        <v>25</v>
      </c>
      <c r="D774">
        <v>42604.95</v>
      </c>
      <c r="E774">
        <v>5</v>
      </c>
      <c r="F774">
        <v>213024.75</v>
      </c>
      <c r="G774" s="1">
        <v>45484</v>
      </c>
      <c r="H774" t="s">
        <v>56</v>
      </c>
      <c r="I774">
        <v>3</v>
      </c>
    </row>
    <row r="775" spans="1:9" x14ac:dyDescent="0.3">
      <c r="A775" t="s">
        <v>818</v>
      </c>
      <c r="B775" t="s">
        <v>21</v>
      </c>
      <c r="C775" t="s">
        <v>22</v>
      </c>
      <c r="D775">
        <v>31265.89</v>
      </c>
      <c r="E775">
        <v>1</v>
      </c>
      <c r="F775">
        <v>31265.89</v>
      </c>
      <c r="G775" s="1">
        <v>45463</v>
      </c>
      <c r="H775" t="s">
        <v>16</v>
      </c>
      <c r="I775">
        <v>4.9000000000000004</v>
      </c>
    </row>
    <row r="776" spans="1:9" x14ac:dyDescent="0.3">
      <c r="A776" t="s">
        <v>819</v>
      </c>
      <c r="B776" t="s">
        <v>151</v>
      </c>
      <c r="C776" t="s">
        <v>15</v>
      </c>
      <c r="D776">
        <v>20020.830000000002</v>
      </c>
      <c r="E776">
        <v>5</v>
      </c>
      <c r="F776">
        <v>100104.15</v>
      </c>
      <c r="G776" s="1">
        <v>45536</v>
      </c>
      <c r="H776" t="s">
        <v>47</v>
      </c>
      <c r="I776">
        <v>1.8</v>
      </c>
    </row>
    <row r="777" spans="1:9" x14ac:dyDescent="0.3">
      <c r="A777" t="s">
        <v>820</v>
      </c>
      <c r="B777" t="s">
        <v>50</v>
      </c>
      <c r="C777" t="s">
        <v>11</v>
      </c>
      <c r="D777">
        <v>24680.19</v>
      </c>
      <c r="E777">
        <v>3</v>
      </c>
      <c r="F777">
        <v>74040.570000000007</v>
      </c>
      <c r="G777" s="1">
        <v>45433</v>
      </c>
      <c r="H777" t="s">
        <v>42</v>
      </c>
      <c r="I777">
        <v>3.5</v>
      </c>
    </row>
    <row r="778" spans="1:9" x14ac:dyDescent="0.3">
      <c r="A778" t="s">
        <v>821</v>
      </c>
      <c r="B778" t="s">
        <v>40</v>
      </c>
      <c r="C778" t="s">
        <v>19</v>
      </c>
      <c r="D778">
        <v>22254.17</v>
      </c>
      <c r="E778">
        <v>4</v>
      </c>
      <c r="F778">
        <v>89016.68</v>
      </c>
      <c r="G778" s="1">
        <v>45396</v>
      </c>
      <c r="H778" t="s">
        <v>12</v>
      </c>
      <c r="I778">
        <v>3.8</v>
      </c>
    </row>
    <row r="779" spans="1:9" x14ac:dyDescent="0.3">
      <c r="A779" t="s">
        <v>822</v>
      </c>
      <c r="B779" t="s">
        <v>93</v>
      </c>
      <c r="C779" t="s">
        <v>11</v>
      </c>
      <c r="D779">
        <v>4226.03</v>
      </c>
      <c r="E779">
        <v>1</v>
      </c>
      <c r="F779">
        <v>4226.03</v>
      </c>
      <c r="G779" s="1">
        <v>45542</v>
      </c>
      <c r="H779" t="s">
        <v>12</v>
      </c>
      <c r="I779">
        <v>2.8</v>
      </c>
    </row>
    <row r="780" spans="1:9" x14ac:dyDescent="0.3">
      <c r="A780" t="s">
        <v>823</v>
      </c>
      <c r="B780" t="s">
        <v>60</v>
      </c>
      <c r="C780" t="s">
        <v>25</v>
      </c>
      <c r="D780">
        <v>46315.8</v>
      </c>
      <c r="E780">
        <v>3</v>
      </c>
      <c r="F780">
        <v>138947.4</v>
      </c>
      <c r="G780" s="1">
        <v>45436</v>
      </c>
      <c r="H780" t="s">
        <v>28</v>
      </c>
      <c r="I780">
        <v>2.4</v>
      </c>
    </row>
    <row r="781" spans="1:9" x14ac:dyDescent="0.3">
      <c r="A781" t="s">
        <v>824</v>
      </c>
      <c r="B781" t="s">
        <v>21</v>
      </c>
      <c r="C781" t="s">
        <v>22</v>
      </c>
      <c r="D781">
        <v>1320.32</v>
      </c>
      <c r="E781">
        <v>3</v>
      </c>
      <c r="F781">
        <v>3960.96</v>
      </c>
      <c r="G781" s="1">
        <v>45665</v>
      </c>
      <c r="H781" t="s">
        <v>28</v>
      </c>
      <c r="I781">
        <v>2</v>
      </c>
    </row>
    <row r="782" spans="1:9" x14ac:dyDescent="0.3">
      <c r="A782" t="s">
        <v>825</v>
      </c>
      <c r="B782" t="s">
        <v>50</v>
      </c>
      <c r="C782" t="s">
        <v>11</v>
      </c>
      <c r="D782">
        <v>9772.82</v>
      </c>
      <c r="E782">
        <v>4</v>
      </c>
      <c r="F782">
        <v>39091.279999999999</v>
      </c>
      <c r="G782" s="1">
        <v>45600</v>
      </c>
      <c r="H782" t="s">
        <v>16</v>
      </c>
      <c r="I782">
        <v>3.1</v>
      </c>
    </row>
    <row r="783" spans="1:9" x14ac:dyDescent="0.3">
      <c r="A783" t="s">
        <v>826</v>
      </c>
      <c r="B783" t="s">
        <v>46</v>
      </c>
      <c r="C783" t="s">
        <v>11</v>
      </c>
      <c r="D783">
        <v>47666.18</v>
      </c>
      <c r="E783">
        <v>1</v>
      </c>
      <c r="F783">
        <v>47666.18</v>
      </c>
      <c r="G783" s="1">
        <v>45334</v>
      </c>
      <c r="H783" t="s">
        <v>16</v>
      </c>
      <c r="I783">
        <v>2.2999999999999998</v>
      </c>
    </row>
    <row r="784" spans="1:9" x14ac:dyDescent="0.3">
      <c r="A784" t="s">
        <v>827</v>
      </c>
      <c r="B784" t="s">
        <v>14</v>
      </c>
      <c r="C784" t="s">
        <v>15</v>
      </c>
      <c r="D784">
        <v>7673.62</v>
      </c>
      <c r="E784">
        <v>2</v>
      </c>
      <c r="F784">
        <v>15347.24</v>
      </c>
      <c r="G784" s="1">
        <v>45456</v>
      </c>
      <c r="H784" t="s">
        <v>42</v>
      </c>
      <c r="I784">
        <v>4.5999999999999996</v>
      </c>
    </row>
    <row r="785" spans="1:9" x14ac:dyDescent="0.3">
      <c r="A785" t="s">
        <v>828</v>
      </c>
      <c r="B785" t="s">
        <v>120</v>
      </c>
      <c r="C785" t="s">
        <v>25</v>
      </c>
      <c r="D785">
        <v>41671.06</v>
      </c>
      <c r="E785">
        <v>2</v>
      </c>
      <c r="F785">
        <v>83342.12</v>
      </c>
      <c r="G785" s="1">
        <v>45689</v>
      </c>
      <c r="H785" t="s">
        <v>16</v>
      </c>
      <c r="I785">
        <v>2.2999999999999998</v>
      </c>
    </row>
    <row r="786" spans="1:9" x14ac:dyDescent="0.3">
      <c r="A786" t="s">
        <v>829</v>
      </c>
      <c r="B786" t="s">
        <v>32</v>
      </c>
      <c r="C786" t="s">
        <v>25</v>
      </c>
      <c r="D786">
        <v>15793.43</v>
      </c>
      <c r="E786">
        <v>5</v>
      </c>
      <c r="F786">
        <v>78967.149999999994</v>
      </c>
      <c r="G786" s="1">
        <v>45557</v>
      </c>
      <c r="H786" t="s">
        <v>56</v>
      </c>
      <c r="I786">
        <v>1.3</v>
      </c>
    </row>
    <row r="787" spans="1:9" x14ac:dyDescent="0.3">
      <c r="A787" t="s">
        <v>830</v>
      </c>
      <c r="B787" t="s">
        <v>40</v>
      </c>
      <c r="C787" t="s">
        <v>19</v>
      </c>
      <c r="D787">
        <v>6767.81</v>
      </c>
      <c r="E787">
        <v>1</v>
      </c>
      <c r="F787">
        <v>6767.81</v>
      </c>
      <c r="G787" s="1">
        <v>45653</v>
      </c>
      <c r="H787" t="s">
        <v>42</v>
      </c>
      <c r="I787">
        <v>2.1</v>
      </c>
    </row>
    <row r="788" spans="1:9" x14ac:dyDescent="0.3">
      <c r="A788" t="s">
        <v>831</v>
      </c>
      <c r="B788" t="s">
        <v>40</v>
      </c>
      <c r="C788" t="s">
        <v>19</v>
      </c>
      <c r="D788">
        <v>1011.22</v>
      </c>
      <c r="E788">
        <v>5</v>
      </c>
      <c r="F788">
        <v>5056.1000000000004</v>
      </c>
      <c r="G788" s="1">
        <v>45601</v>
      </c>
      <c r="H788" t="s">
        <v>56</v>
      </c>
      <c r="I788">
        <v>4.7</v>
      </c>
    </row>
    <row r="789" spans="1:9" x14ac:dyDescent="0.3">
      <c r="A789" t="s">
        <v>832</v>
      </c>
      <c r="B789" t="s">
        <v>82</v>
      </c>
      <c r="C789" t="s">
        <v>22</v>
      </c>
      <c r="D789">
        <v>13371.25</v>
      </c>
      <c r="E789">
        <v>4</v>
      </c>
      <c r="F789">
        <v>53485</v>
      </c>
      <c r="G789" s="1">
        <v>45478</v>
      </c>
      <c r="H789" t="s">
        <v>47</v>
      </c>
      <c r="I789">
        <v>1.6</v>
      </c>
    </row>
    <row r="790" spans="1:9" x14ac:dyDescent="0.3">
      <c r="A790" t="s">
        <v>833</v>
      </c>
      <c r="B790" t="s">
        <v>14</v>
      </c>
      <c r="C790" t="s">
        <v>15</v>
      </c>
      <c r="D790">
        <v>28972.11</v>
      </c>
      <c r="E790">
        <v>2</v>
      </c>
      <c r="F790">
        <v>57944.22</v>
      </c>
      <c r="G790" s="1">
        <v>45505</v>
      </c>
      <c r="H790" t="s">
        <v>47</v>
      </c>
      <c r="I790">
        <v>2.1</v>
      </c>
    </row>
    <row r="791" spans="1:9" x14ac:dyDescent="0.3">
      <c r="A791" t="s">
        <v>834</v>
      </c>
      <c r="B791" t="s">
        <v>38</v>
      </c>
      <c r="C791" t="s">
        <v>19</v>
      </c>
      <c r="D791">
        <v>17212.34</v>
      </c>
      <c r="E791">
        <v>1</v>
      </c>
      <c r="F791">
        <v>17212.34</v>
      </c>
      <c r="G791" s="1">
        <v>45694</v>
      </c>
      <c r="H791" t="s">
        <v>42</v>
      </c>
      <c r="I791">
        <v>3.5</v>
      </c>
    </row>
    <row r="792" spans="1:9" x14ac:dyDescent="0.3">
      <c r="A792" t="s">
        <v>835</v>
      </c>
      <c r="B792" t="s">
        <v>10</v>
      </c>
      <c r="C792" t="s">
        <v>11</v>
      </c>
      <c r="D792">
        <v>48742</v>
      </c>
      <c r="E792">
        <v>1</v>
      </c>
      <c r="F792">
        <v>48742</v>
      </c>
      <c r="G792" s="1">
        <v>45551</v>
      </c>
      <c r="H792" t="s">
        <v>16</v>
      </c>
      <c r="I792">
        <v>1.1000000000000001</v>
      </c>
    </row>
    <row r="793" spans="1:9" x14ac:dyDescent="0.3">
      <c r="A793" t="s">
        <v>836</v>
      </c>
      <c r="B793" t="s">
        <v>44</v>
      </c>
      <c r="C793" t="s">
        <v>22</v>
      </c>
      <c r="D793">
        <v>19117.36</v>
      </c>
      <c r="E793">
        <v>3</v>
      </c>
      <c r="F793">
        <v>57352.08</v>
      </c>
      <c r="G793" s="1">
        <v>45696</v>
      </c>
      <c r="H793" t="s">
        <v>42</v>
      </c>
      <c r="I793">
        <v>1.6</v>
      </c>
    </row>
    <row r="794" spans="1:9" x14ac:dyDescent="0.3">
      <c r="A794" t="s">
        <v>837</v>
      </c>
      <c r="B794" t="s">
        <v>36</v>
      </c>
      <c r="C794" t="s">
        <v>22</v>
      </c>
      <c r="D794">
        <v>847.39</v>
      </c>
      <c r="E794">
        <v>5</v>
      </c>
      <c r="F794">
        <v>4236.95</v>
      </c>
      <c r="G794" s="1">
        <v>45641</v>
      </c>
      <c r="H794" t="s">
        <v>56</v>
      </c>
      <c r="I794">
        <v>4</v>
      </c>
    </row>
    <row r="795" spans="1:9" x14ac:dyDescent="0.3">
      <c r="A795" t="s">
        <v>838</v>
      </c>
      <c r="B795" t="s">
        <v>27</v>
      </c>
      <c r="C795" t="s">
        <v>25</v>
      </c>
      <c r="D795">
        <v>14796.32</v>
      </c>
      <c r="E795">
        <v>2</v>
      </c>
      <c r="F795">
        <v>29592.639999999999</v>
      </c>
      <c r="G795" s="1">
        <v>45625</v>
      </c>
      <c r="H795" t="s">
        <v>28</v>
      </c>
      <c r="I795">
        <v>1.2</v>
      </c>
    </row>
    <row r="796" spans="1:9" x14ac:dyDescent="0.3">
      <c r="A796" t="s">
        <v>839</v>
      </c>
      <c r="B796" t="s">
        <v>18</v>
      </c>
      <c r="C796" t="s">
        <v>19</v>
      </c>
      <c r="D796">
        <v>5238.33</v>
      </c>
      <c r="E796">
        <v>3</v>
      </c>
      <c r="F796">
        <v>15714.99</v>
      </c>
      <c r="G796" s="1">
        <v>45589</v>
      </c>
      <c r="H796" t="s">
        <v>28</v>
      </c>
      <c r="I796">
        <v>1.6</v>
      </c>
    </row>
    <row r="797" spans="1:9" x14ac:dyDescent="0.3">
      <c r="A797" t="s">
        <v>840</v>
      </c>
      <c r="B797" t="s">
        <v>27</v>
      </c>
      <c r="C797" t="s">
        <v>25</v>
      </c>
      <c r="D797">
        <v>31430.94</v>
      </c>
      <c r="E797">
        <v>5</v>
      </c>
      <c r="F797">
        <v>157154.70000000001</v>
      </c>
      <c r="G797" s="1">
        <v>45598</v>
      </c>
      <c r="H797" t="s">
        <v>12</v>
      </c>
      <c r="I797">
        <v>4.5999999999999996</v>
      </c>
    </row>
    <row r="798" spans="1:9" x14ac:dyDescent="0.3">
      <c r="A798" t="s">
        <v>841</v>
      </c>
      <c r="B798" t="s">
        <v>14</v>
      </c>
      <c r="C798" t="s">
        <v>15</v>
      </c>
      <c r="D798">
        <v>27532.48</v>
      </c>
      <c r="E798">
        <v>4</v>
      </c>
      <c r="F798">
        <v>110129.92</v>
      </c>
      <c r="G798" s="1">
        <v>45391</v>
      </c>
      <c r="H798" t="s">
        <v>16</v>
      </c>
      <c r="I798">
        <v>2.2000000000000002</v>
      </c>
    </row>
    <row r="799" spans="1:9" x14ac:dyDescent="0.3">
      <c r="A799" t="s">
        <v>842</v>
      </c>
      <c r="B799" t="s">
        <v>14</v>
      </c>
      <c r="C799" t="s">
        <v>15</v>
      </c>
      <c r="D799">
        <v>41121.949999999997</v>
      </c>
      <c r="E799">
        <v>3</v>
      </c>
      <c r="F799">
        <v>123365.85</v>
      </c>
      <c r="G799" s="1">
        <v>45342</v>
      </c>
      <c r="H799" t="s">
        <v>42</v>
      </c>
      <c r="I799">
        <v>1.4</v>
      </c>
    </row>
    <row r="800" spans="1:9" x14ac:dyDescent="0.3">
      <c r="A800" t="s">
        <v>843</v>
      </c>
      <c r="B800" t="s">
        <v>71</v>
      </c>
      <c r="C800" t="s">
        <v>22</v>
      </c>
      <c r="D800">
        <v>12944.89</v>
      </c>
      <c r="E800">
        <v>2</v>
      </c>
      <c r="F800">
        <v>25889.78</v>
      </c>
      <c r="G800" s="1">
        <v>45392</v>
      </c>
      <c r="H800" t="s">
        <v>42</v>
      </c>
      <c r="I800">
        <v>1.9</v>
      </c>
    </row>
    <row r="801" spans="1:9" x14ac:dyDescent="0.3">
      <c r="A801" t="s">
        <v>844</v>
      </c>
      <c r="B801" t="s">
        <v>54</v>
      </c>
      <c r="C801" t="s">
        <v>15</v>
      </c>
      <c r="D801">
        <v>4729.04</v>
      </c>
      <c r="E801">
        <v>5</v>
      </c>
      <c r="F801">
        <v>23645.200000000001</v>
      </c>
      <c r="G801" s="1">
        <v>45544</v>
      </c>
      <c r="H801" t="s">
        <v>42</v>
      </c>
      <c r="I801">
        <v>4</v>
      </c>
    </row>
    <row r="802" spans="1:9" x14ac:dyDescent="0.3">
      <c r="A802" t="s">
        <v>845</v>
      </c>
      <c r="B802" t="s">
        <v>40</v>
      </c>
      <c r="C802" t="s">
        <v>19</v>
      </c>
      <c r="D802">
        <v>31512.97</v>
      </c>
      <c r="E802">
        <v>2</v>
      </c>
      <c r="F802">
        <v>63025.94</v>
      </c>
      <c r="G802" s="1">
        <v>45644</v>
      </c>
      <c r="H802" t="s">
        <v>42</v>
      </c>
      <c r="I802">
        <v>2.1</v>
      </c>
    </row>
    <row r="803" spans="1:9" x14ac:dyDescent="0.3">
      <c r="A803" t="s">
        <v>846</v>
      </c>
      <c r="B803" t="s">
        <v>21</v>
      </c>
      <c r="C803" t="s">
        <v>22</v>
      </c>
      <c r="D803">
        <v>46891.65</v>
      </c>
      <c r="E803">
        <v>3</v>
      </c>
      <c r="F803">
        <v>140674.95000000001</v>
      </c>
      <c r="G803" s="1">
        <v>45604</v>
      </c>
      <c r="H803" t="s">
        <v>56</v>
      </c>
      <c r="I803">
        <v>2.9</v>
      </c>
    </row>
    <row r="804" spans="1:9" x14ac:dyDescent="0.3">
      <c r="A804" t="s">
        <v>847</v>
      </c>
      <c r="B804" t="s">
        <v>151</v>
      </c>
      <c r="C804" t="s">
        <v>15</v>
      </c>
      <c r="D804">
        <v>34137.79</v>
      </c>
      <c r="E804">
        <v>2</v>
      </c>
      <c r="F804">
        <v>68275.58</v>
      </c>
      <c r="G804" s="1">
        <v>45558</v>
      </c>
      <c r="H804" t="s">
        <v>56</v>
      </c>
      <c r="I804">
        <v>1.8</v>
      </c>
    </row>
    <row r="805" spans="1:9" x14ac:dyDescent="0.3">
      <c r="A805" t="s">
        <v>848</v>
      </c>
      <c r="B805" t="s">
        <v>32</v>
      </c>
      <c r="C805" t="s">
        <v>25</v>
      </c>
      <c r="D805">
        <v>41000.910000000003</v>
      </c>
      <c r="E805">
        <v>4</v>
      </c>
      <c r="F805">
        <v>164003.64000000001</v>
      </c>
      <c r="G805" s="1">
        <v>45546</v>
      </c>
      <c r="H805" t="s">
        <v>16</v>
      </c>
      <c r="I805">
        <v>4.5</v>
      </c>
    </row>
    <row r="806" spans="1:9" x14ac:dyDescent="0.3">
      <c r="A806" t="s">
        <v>849</v>
      </c>
      <c r="B806" t="s">
        <v>71</v>
      </c>
      <c r="C806" t="s">
        <v>22</v>
      </c>
      <c r="D806">
        <v>7672.34</v>
      </c>
      <c r="E806">
        <v>4</v>
      </c>
      <c r="F806">
        <v>30689.360000000001</v>
      </c>
      <c r="G806" s="1">
        <v>45392</v>
      </c>
      <c r="H806" t="s">
        <v>16</v>
      </c>
      <c r="I806">
        <v>1.1000000000000001</v>
      </c>
    </row>
    <row r="807" spans="1:9" x14ac:dyDescent="0.3">
      <c r="A807" t="s">
        <v>850</v>
      </c>
      <c r="B807" t="s">
        <v>10</v>
      </c>
      <c r="C807" t="s">
        <v>11</v>
      </c>
      <c r="D807">
        <v>25186.79</v>
      </c>
      <c r="E807">
        <v>3</v>
      </c>
      <c r="F807">
        <v>75560.37</v>
      </c>
      <c r="G807" s="1">
        <v>45344</v>
      </c>
      <c r="H807" t="s">
        <v>42</v>
      </c>
      <c r="I807">
        <v>3.8</v>
      </c>
    </row>
    <row r="808" spans="1:9" x14ac:dyDescent="0.3">
      <c r="A808" t="s">
        <v>851</v>
      </c>
      <c r="B808" t="s">
        <v>75</v>
      </c>
      <c r="C808" t="s">
        <v>19</v>
      </c>
      <c r="D808">
        <v>41285.25</v>
      </c>
      <c r="E808">
        <v>1</v>
      </c>
      <c r="F808">
        <v>41285.25</v>
      </c>
      <c r="G808" s="1">
        <v>45631</v>
      </c>
      <c r="H808" t="s">
        <v>42</v>
      </c>
      <c r="I808">
        <v>1.8</v>
      </c>
    </row>
    <row r="809" spans="1:9" x14ac:dyDescent="0.3">
      <c r="A809" t="s">
        <v>852</v>
      </c>
      <c r="B809" t="s">
        <v>75</v>
      </c>
      <c r="C809" t="s">
        <v>19</v>
      </c>
      <c r="D809">
        <v>30435.75</v>
      </c>
      <c r="E809">
        <v>2</v>
      </c>
      <c r="F809">
        <v>60871.5</v>
      </c>
      <c r="G809" s="1">
        <v>45391</v>
      </c>
      <c r="H809" t="s">
        <v>47</v>
      </c>
      <c r="I809">
        <v>3.1</v>
      </c>
    </row>
    <row r="810" spans="1:9" x14ac:dyDescent="0.3">
      <c r="A810" t="s">
        <v>853</v>
      </c>
      <c r="B810" t="s">
        <v>71</v>
      </c>
      <c r="C810" t="s">
        <v>22</v>
      </c>
      <c r="D810">
        <v>45786.559999999998</v>
      </c>
      <c r="E810">
        <v>5</v>
      </c>
      <c r="F810">
        <v>228932.8</v>
      </c>
      <c r="G810" s="1">
        <v>45648</v>
      </c>
      <c r="H810" t="s">
        <v>28</v>
      </c>
      <c r="I810">
        <v>1.4</v>
      </c>
    </row>
    <row r="811" spans="1:9" x14ac:dyDescent="0.3">
      <c r="A811" t="s">
        <v>854</v>
      </c>
      <c r="B811" t="s">
        <v>93</v>
      </c>
      <c r="C811" t="s">
        <v>11</v>
      </c>
      <c r="D811">
        <v>26700.19</v>
      </c>
      <c r="E811">
        <v>3</v>
      </c>
      <c r="F811">
        <v>80100.570000000007</v>
      </c>
      <c r="G811" s="1">
        <v>45377</v>
      </c>
      <c r="H811" t="s">
        <v>42</v>
      </c>
      <c r="I811">
        <v>1.5</v>
      </c>
    </row>
    <row r="812" spans="1:9" x14ac:dyDescent="0.3">
      <c r="A812" t="s">
        <v>855</v>
      </c>
      <c r="B812" t="s">
        <v>30</v>
      </c>
      <c r="C812" t="s">
        <v>15</v>
      </c>
      <c r="D812">
        <v>27367.02</v>
      </c>
      <c r="E812">
        <v>3</v>
      </c>
      <c r="F812">
        <v>82101.06</v>
      </c>
      <c r="G812" s="1">
        <v>45476</v>
      </c>
      <c r="H812" t="s">
        <v>28</v>
      </c>
      <c r="I812">
        <v>1.4</v>
      </c>
    </row>
    <row r="813" spans="1:9" x14ac:dyDescent="0.3">
      <c r="A813" t="s">
        <v>856</v>
      </c>
      <c r="B813" t="s">
        <v>36</v>
      </c>
      <c r="C813" t="s">
        <v>22</v>
      </c>
      <c r="D813">
        <v>17213.3</v>
      </c>
      <c r="E813">
        <v>3</v>
      </c>
      <c r="F813">
        <v>51639.9</v>
      </c>
      <c r="G813" s="1">
        <v>45403</v>
      </c>
      <c r="H813" t="s">
        <v>56</v>
      </c>
      <c r="I813">
        <v>1.7</v>
      </c>
    </row>
    <row r="814" spans="1:9" x14ac:dyDescent="0.3">
      <c r="A814" t="s">
        <v>857</v>
      </c>
      <c r="B814" t="s">
        <v>27</v>
      </c>
      <c r="C814" t="s">
        <v>25</v>
      </c>
      <c r="D814">
        <v>4084.62</v>
      </c>
      <c r="E814">
        <v>5</v>
      </c>
      <c r="F814">
        <v>20423.099999999999</v>
      </c>
      <c r="G814" s="1">
        <v>45348</v>
      </c>
      <c r="H814" t="s">
        <v>16</v>
      </c>
      <c r="I814">
        <v>4.3</v>
      </c>
    </row>
    <row r="815" spans="1:9" x14ac:dyDescent="0.3">
      <c r="A815" t="s">
        <v>858</v>
      </c>
      <c r="B815" t="s">
        <v>32</v>
      </c>
      <c r="C815" t="s">
        <v>25</v>
      </c>
      <c r="D815">
        <v>9213.5499999999993</v>
      </c>
      <c r="E815">
        <v>4</v>
      </c>
      <c r="F815">
        <v>36854.199999999997</v>
      </c>
      <c r="G815" s="1">
        <v>45490</v>
      </c>
      <c r="H815" t="s">
        <v>42</v>
      </c>
      <c r="I815">
        <v>2.5</v>
      </c>
    </row>
    <row r="816" spans="1:9" x14ac:dyDescent="0.3">
      <c r="A816" t="s">
        <v>859</v>
      </c>
      <c r="B816" t="s">
        <v>54</v>
      </c>
      <c r="C816" t="s">
        <v>15</v>
      </c>
      <c r="D816">
        <v>6114.55</v>
      </c>
      <c r="E816">
        <v>4</v>
      </c>
      <c r="F816">
        <v>24458.2</v>
      </c>
      <c r="G816" s="1">
        <v>45531</v>
      </c>
      <c r="H816" t="s">
        <v>12</v>
      </c>
      <c r="I816">
        <v>3.7</v>
      </c>
    </row>
    <row r="817" spans="1:9" x14ac:dyDescent="0.3">
      <c r="A817" t="s">
        <v>860</v>
      </c>
      <c r="B817" t="s">
        <v>46</v>
      </c>
      <c r="C817" t="s">
        <v>11</v>
      </c>
      <c r="D817">
        <v>21670.52</v>
      </c>
      <c r="E817">
        <v>4</v>
      </c>
      <c r="F817">
        <v>86682.08</v>
      </c>
      <c r="G817" s="1">
        <v>45391</v>
      </c>
      <c r="H817" t="s">
        <v>42</v>
      </c>
      <c r="I817">
        <v>4.5999999999999996</v>
      </c>
    </row>
    <row r="818" spans="1:9" x14ac:dyDescent="0.3">
      <c r="A818" t="s">
        <v>861</v>
      </c>
      <c r="B818" t="s">
        <v>18</v>
      </c>
      <c r="C818" t="s">
        <v>19</v>
      </c>
      <c r="D818">
        <v>37528.53</v>
      </c>
      <c r="E818">
        <v>4</v>
      </c>
      <c r="F818">
        <v>150114.12</v>
      </c>
      <c r="G818" s="1">
        <v>45678</v>
      </c>
      <c r="H818" t="s">
        <v>16</v>
      </c>
      <c r="I818">
        <v>1.6</v>
      </c>
    </row>
    <row r="819" spans="1:9" x14ac:dyDescent="0.3">
      <c r="A819" t="s">
        <v>862</v>
      </c>
      <c r="B819" t="s">
        <v>44</v>
      </c>
      <c r="C819" t="s">
        <v>22</v>
      </c>
      <c r="D819">
        <v>46526.93</v>
      </c>
      <c r="E819">
        <v>5</v>
      </c>
      <c r="F819">
        <v>232634.65</v>
      </c>
      <c r="G819" s="1">
        <v>45646</v>
      </c>
      <c r="H819" t="s">
        <v>56</v>
      </c>
      <c r="I819">
        <v>2.2000000000000002</v>
      </c>
    </row>
    <row r="820" spans="1:9" x14ac:dyDescent="0.3">
      <c r="A820" t="s">
        <v>863</v>
      </c>
      <c r="B820" t="s">
        <v>100</v>
      </c>
      <c r="C820" t="s">
        <v>11</v>
      </c>
      <c r="D820">
        <v>4042.56</v>
      </c>
      <c r="E820">
        <v>2</v>
      </c>
      <c r="F820">
        <v>8085.12</v>
      </c>
      <c r="G820" s="1">
        <v>45365</v>
      </c>
      <c r="H820" t="s">
        <v>12</v>
      </c>
      <c r="I820">
        <v>3.7</v>
      </c>
    </row>
    <row r="821" spans="1:9" x14ac:dyDescent="0.3">
      <c r="A821" t="s">
        <v>864</v>
      </c>
      <c r="B821" t="s">
        <v>24</v>
      </c>
      <c r="C821" t="s">
        <v>25</v>
      </c>
      <c r="D821">
        <v>35777.51</v>
      </c>
      <c r="E821">
        <v>1</v>
      </c>
      <c r="F821">
        <v>35777.51</v>
      </c>
      <c r="G821" s="1">
        <v>45649</v>
      </c>
      <c r="H821" t="s">
        <v>56</v>
      </c>
      <c r="I821">
        <v>3.2</v>
      </c>
    </row>
    <row r="822" spans="1:9" x14ac:dyDescent="0.3">
      <c r="A822" t="s">
        <v>865</v>
      </c>
      <c r="B822" t="s">
        <v>60</v>
      </c>
      <c r="C822" t="s">
        <v>25</v>
      </c>
      <c r="D822">
        <v>4160.5200000000004</v>
      </c>
      <c r="E822">
        <v>2</v>
      </c>
      <c r="F822">
        <v>8321.0400000000009</v>
      </c>
      <c r="G822" s="1">
        <v>45632</v>
      </c>
      <c r="H822" t="s">
        <v>56</v>
      </c>
      <c r="I822">
        <v>3.8</v>
      </c>
    </row>
    <row r="823" spans="1:9" x14ac:dyDescent="0.3">
      <c r="A823" t="s">
        <v>866</v>
      </c>
      <c r="B823" t="s">
        <v>71</v>
      </c>
      <c r="C823" t="s">
        <v>22</v>
      </c>
      <c r="D823">
        <v>20754.919999999998</v>
      </c>
      <c r="E823">
        <v>3</v>
      </c>
      <c r="F823">
        <v>62264.76</v>
      </c>
      <c r="G823" s="1">
        <v>45514</v>
      </c>
      <c r="H823" t="s">
        <v>12</v>
      </c>
      <c r="I823">
        <v>1.9</v>
      </c>
    </row>
    <row r="824" spans="1:9" x14ac:dyDescent="0.3">
      <c r="A824" t="s">
        <v>867</v>
      </c>
      <c r="B824" t="s">
        <v>46</v>
      </c>
      <c r="C824" t="s">
        <v>11</v>
      </c>
      <c r="D824">
        <v>34460.43</v>
      </c>
      <c r="E824">
        <v>2</v>
      </c>
      <c r="F824">
        <v>68920.86</v>
      </c>
      <c r="G824" s="1">
        <v>45357</v>
      </c>
      <c r="H824" t="s">
        <v>42</v>
      </c>
      <c r="I824">
        <v>4.5999999999999996</v>
      </c>
    </row>
    <row r="825" spans="1:9" x14ac:dyDescent="0.3">
      <c r="A825" t="s">
        <v>868</v>
      </c>
      <c r="B825" t="s">
        <v>32</v>
      </c>
      <c r="C825" t="s">
        <v>25</v>
      </c>
      <c r="D825">
        <v>22835.78</v>
      </c>
      <c r="E825">
        <v>5</v>
      </c>
      <c r="F825">
        <v>114178.9</v>
      </c>
      <c r="G825" s="1">
        <v>45344</v>
      </c>
      <c r="H825" t="s">
        <v>28</v>
      </c>
      <c r="I825">
        <v>4.0999999999999996</v>
      </c>
    </row>
    <row r="826" spans="1:9" x14ac:dyDescent="0.3">
      <c r="A826" t="s">
        <v>869</v>
      </c>
      <c r="B826" t="s">
        <v>75</v>
      </c>
      <c r="C826" t="s">
        <v>19</v>
      </c>
      <c r="D826">
        <v>5361.18</v>
      </c>
      <c r="E826">
        <v>2</v>
      </c>
      <c r="F826">
        <v>10722.36</v>
      </c>
      <c r="G826" s="1">
        <v>45581</v>
      </c>
      <c r="H826" t="s">
        <v>56</v>
      </c>
      <c r="I826">
        <v>3</v>
      </c>
    </row>
    <row r="827" spans="1:9" x14ac:dyDescent="0.3">
      <c r="A827" t="s">
        <v>870</v>
      </c>
      <c r="B827" t="s">
        <v>34</v>
      </c>
      <c r="C827" t="s">
        <v>15</v>
      </c>
      <c r="D827">
        <v>41996.61</v>
      </c>
      <c r="E827">
        <v>2</v>
      </c>
      <c r="F827">
        <v>83993.22</v>
      </c>
      <c r="G827" s="1">
        <v>45616</v>
      </c>
      <c r="H827" t="s">
        <v>42</v>
      </c>
      <c r="I827">
        <v>2.1</v>
      </c>
    </row>
    <row r="828" spans="1:9" x14ac:dyDescent="0.3">
      <c r="A828" t="s">
        <v>871</v>
      </c>
      <c r="B828" t="s">
        <v>38</v>
      </c>
      <c r="C828" t="s">
        <v>19</v>
      </c>
      <c r="D828">
        <v>43606.83</v>
      </c>
      <c r="E828">
        <v>4</v>
      </c>
      <c r="F828">
        <v>174427.32</v>
      </c>
      <c r="G828" s="1">
        <v>45393</v>
      </c>
      <c r="H828" t="s">
        <v>12</v>
      </c>
      <c r="I828">
        <v>3.6</v>
      </c>
    </row>
    <row r="829" spans="1:9" x14ac:dyDescent="0.3">
      <c r="A829" t="s">
        <v>872</v>
      </c>
      <c r="B829" t="s">
        <v>21</v>
      </c>
      <c r="C829" t="s">
        <v>22</v>
      </c>
      <c r="D829">
        <v>14290.07</v>
      </c>
      <c r="E829">
        <v>5</v>
      </c>
      <c r="F829">
        <v>71450.350000000006</v>
      </c>
      <c r="G829" s="1">
        <v>45638</v>
      </c>
      <c r="H829" t="s">
        <v>12</v>
      </c>
      <c r="I829">
        <v>2.2999999999999998</v>
      </c>
    </row>
    <row r="830" spans="1:9" x14ac:dyDescent="0.3">
      <c r="A830" t="s">
        <v>873</v>
      </c>
      <c r="B830" t="s">
        <v>71</v>
      </c>
      <c r="C830" t="s">
        <v>22</v>
      </c>
      <c r="D830">
        <v>32760.67</v>
      </c>
      <c r="E830">
        <v>3</v>
      </c>
      <c r="F830">
        <v>98282.01</v>
      </c>
      <c r="G830" s="1">
        <v>45469</v>
      </c>
      <c r="H830" t="s">
        <v>56</v>
      </c>
      <c r="I830">
        <v>1</v>
      </c>
    </row>
    <row r="831" spans="1:9" x14ac:dyDescent="0.3">
      <c r="A831" t="s">
        <v>874</v>
      </c>
      <c r="B831" t="s">
        <v>46</v>
      </c>
      <c r="C831" t="s">
        <v>11</v>
      </c>
      <c r="D831">
        <v>26403.73</v>
      </c>
      <c r="E831">
        <v>1</v>
      </c>
      <c r="F831">
        <v>26403.73</v>
      </c>
      <c r="G831" s="1">
        <v>45604</v>
      </c>
      <c r="H831" t="s">
        <v>12</v>
      </c>
      <c r="I831">
        <v>3.3</v>
      </c>
    </row>
    <row r="832" spans="1:9" x14ac:dyDescent="0.3">
      <c r="A832" t="s">
        <v>875</v>
      </c>
      <c r="B832" t="s">
        <v>69</v>
      </c>
      <c r="C832" t="s">
        <v>19</v>
      </c>
      <c r="D832">
        <v>34069.64</v>
      </c>
      <c r="E832">
        <v>1</v>
      </c>
      <c r="F832">
        <v>34069.64</v>
      </c>
      <c r="G832" s="1">
        <v>45610</v>
      </c>
      <c r="H832" t="s">
        <v>28</v>
      </c>
      <c r="I832">
        <v>3</v>
      </c>
    </row>
    <row r="833" spans="1:9" x14ac:dyDescent="0.3">
      <c r="A833" t="s">
        <v>876</v>
      </c>
      <c r="B833" t="s">
        <v>32</v>
      </c>
      <c r="C833" t="s">
        <v>25</v>
      </c>
      <c r="D833">
        <v>47284.54</v>
      </c>
      <c r="E833">
        <v>5</v>
      </c>
      <c r="F833">
        <v>236422.7</v>
      </c>
      <c r="G833" s="1">
        <v>45352</v>
      </c>
      <c r="H833" t="s">
        <v>56</v>
      </c>
      <c r="I833">
        <v>2.4</v>
      </c>
    </row>
    <row r="834" spans="1:9" x14ac:dyDescent="0.3">
      <c r="A834" t="s">
        <v>877</v>
      </c>
      <c r="B834" t="s">
        <v>21</v>
      </c>
      <c r="C834" t="s">
        <v>22</v>
      </c>
      <c r="D834">
        <v>28678.880000000001</v>
      </c>
      <c r="E834">
        <v>4</v>
      </c>
      <c r="F834">
        <v>114715.52</v>
      </c>
      <c r="G834" s="1">
        <v>45582</v>
      </c>
      <c r="H834" t="s">
        <v>56</v>
      </c>
      <c r="I834">
        <v>3.7</v>
      </c>
    </row>
    <row r="835" spans="1:9" x14ac:dyDescent="0.3">
      <c r="A835" t="s">
        <v>878</v>
      </c>
      <c r="B835" t="s">
        <v>18</v>
      </c>
      <c r="C835" t="s">
        <v>19</v>
      </c>
      <c r="D835">
        <v>44918.35</v>
      </c>
      <c r="E835">
        <v>5</v>
      </c>
      <c r="F835">
        <v>224591.75</v>
      </c>
      <c r="G835" s="1">
        <v>45496</v>
      </c>
      <c r="H835" t="s">
        <v>28</v>
      </c>
      <c r="I835">
        <v>4.4000000000000004</v>
      </c>
    </row>
    <row r="836" spans="1:9" x14ac:dyDescent="0.3">
      <c r="A836" t="s">
        <v>879</v>
      </c>
      <c r="B836" t="s">
        <v>69</v>
      </c>
      <c r="C836" t="s">
        <v>19</v>
      </c>
      <c r="D836">
        <v>31727.37</v>
      </c>
      <c r="E836">
        <v>1</v>
      </c>
      <c r="F836">
        <v>31727.37</v>
      </c>
      <c r="G836" s="1">
        <v>45607</v>
      </c>
      <c r="H836" t="s">
        <v>12</v>
      </c>
      <c r="I836">
        <v>1.7</v>
      </c>
    </row>
    <row r="837" spans="1:9" x14ac:dyDescent="0.3">
      <c r="A837" t="s">
        <v>880</v>
      </c>
      <c r="B837" t="s">
        <v>60</v>
      </c>
      <c r="C837" t="s">
        <v>25</v>
      </c>
      <c r="D837">
        <v>10766.58</v>
      </c>
      <c r="E837">
        <v>3</v>
      </c>
      <c r="F837">
        <v>32299.74</v>
      </c>
      <c r="G837" s="1">
        <v>45387</v>
      </c>
      <c r="H837" t="s">
        <v>47</v>
      </c>
      <c r="I837">
        <v>4.2</v>
      </c>
    </row>
    <row r="838" spans="1:9" x14ac:dyDescent="0.3">
      <c r="A838" t="s">
        <v>881</v>
      </c>
      <c r="B838" t="s">
        <v>40</v>
      </c>
      <c r="C838" t="s">
        <v>19</v>
      </c>
      <c r="D838">
        <v>25288.2</v>
      </c>
      <c r="E838">
        <v>4</v>
      </c>
      <c r="F838">
        <v>101152.8</v>
      </c>
      <c r="G838" s="1">
        <v>45519</v>
      </c>
      <c r="H838" t="s">
        <v>12</v>
      </c>
      <c r="I838">
        <v>4.8</v>
      </c>
    </row>
    <row r="839" spans="1:9" x14ac:dyDescent="0.3">
      <c r="A839" t="s">
        <v>882</v>
      </c>
      <c r="B839" t="s">
        <v>71</v>
      </c>
      <c r="C839" t="s">
        <v>22</v>
      </c>
      <c r="D839">
        <v>35506.5</v>
      </c>
      <c r="E839">
        <v>5</v>
      </c>
      <c r="F839">
        <v>177532.5</v>
      </c>
      <c r="G839" s="1">
        <v>45438</v>
      </c>
      <c r="H839" t="s">
        <v>16</v>
      </c>
      <c r="I839">
        <v>4.5</v>
      </c>
    </row>
    <row r="840" spans="1:9" x14ac:dyDescent="0.3">
      <c r="A840" t="s">
        <v>883</v>
      </c>
      <c r="B840" t="s">
        <v>93</v>
      </c>
      <c r="C840" t="s">
        <v>11</v>
      </c>
      <c r="D840">
        <v>7682.98</v>
      </c>
      <c r="E840">
        <v>4</v>
      </c>
      <c r="F840">
        <v>30731.919999999998</v>
      </c>
      <c r="G840" s="1">
        <v>45519</v>
      </c>
      <c r="H840" t="s">
        <v>42</v>
      </c>
      <c r="I840">
        <v>4.8</v>
      </c>
    </row>
    <row r="841" spans="1:9" x14ac:dyDescent="0.3">
      <c r="A841" t="s">
        <v>884</v>
      </c>
      <c r="B841" t="s">
        <v>44</v>
      </c>
      <c r="C841" t="s">
        <v>22</v>
      </c>
      <c r="D841">
        <v>32664.01</v>
      </c>
      <c r="E841">
        <v>2</v>
      </c>
      <c r="F841">
        <v>65328.02</v>
      </c>
      <c r="G841" s="1">
        <v>45373</v>
      </c>
      <c r="H841" t="s">
        <v>56</v>
      </c>
      <c r="I841">
        <v>2.5</v>
      </c>
    </row>
    <row r="842" spans="1:9" x14ac:dyDescent="0.3">
      <c r="A842" t="s">
        <v>885</v>
      </c>
      <c r="B842" t="s">
        <v>32</v>
      </c>
      <c r="C842" t="s">
        <v>25</v>
      </c>
      <c r="D842">
        <v>14359.56</v>
      </c>
      <c r="E842">
        <v>3</v>
      </c>
      <c r="F842">
        <v>43078.68</v>
      </c>
      <c r="G842" s="1">
        <v>45482</v>
      </c>
      <c r="H842" t="s">
        <v>12</v>
      </c>
      <c r="I842">
        <v>2.2999999999999998</v>
      </c>
    </row>
    <row r="843" spans="1:9" x14ac:dyDescent="0.3">
      <c r="A843" t="s">
        <v>886</v>
      </c>
      <c r="B843" t="s">
        <v>30</v>
      </c>
      <c r="C843" t="s">
        <v>15</v>
      </c>
      <c r="D843">
        <v>3632.93</v>
      </c>
      <c r="E843">
        <v>5</v>
      </c>
      <c r="F843">
        <v>18164.650000000001</v>
      </c>
      <c r="G843" s="1">
        <v>45528</v>
      </c>
      <c r="H843" t="s">
        <v>47</v>
      </c>
      <c r="I843">
        <v>2.1</v>
      </c>
    </row>
    <row r="844" spans="1:9" x14ac:dyDescent="0.3">
      <c r="A844" t="s">
        <v>887</v>
      </c>
      <c r="B844" t="s">
        <v>27</v>
      </c>
      <c r="C844" t="s">
        <v>25</v>
      </c>
      <c r="D844">
        <v>30519.71</v>
      </c>
      <c r="E844">
        <v>1</v>
      </c>
      <c r="F844">
        <v>30519.71</v>
      </c>
      <c r="G844" s="1">
        <v>45335</v>
      </c>
      <c r="H844" t="s">
        <v>56</v>
      </c>
      <c r="I844">
        <v>3.2</v>
      </c>
    </row>
    <row r="845" spans="1:9" x14ac:dyDescent="0.3">
      <c r="A845" t="s">
        <v>888</v>
      </c>
      <c r="B845" t="s">
        <v>120</v>
      </c>
      <c r="C845" t="s">
        <v>25</v>
      </c>
      <c r="D845">
        <v>999.54</v>
      </c>
      <c r="E845">
        <v>3</v>
      </c>
      <c r="F845">
        <v>2998.62</v>
      </c>
      <c r="G845" s="1">
        <v>45660</v>
      </c>
      <c r="H845" t="s">
        <v>12</v>
      </c>
      <c r="I845">
        <v>3.2</v>
      </c>
    </row>
    <row r="846" spans="1:9" x14ac:dyDescent="0.3">
      <c r="A846" t="s">
        <v>889</v>
      </c>
      <c r="B846" t="s">
        <v>27</v>
      </c>
      <c r="C846" t="s">
        <v>25</v>
      </c>
      <c r="D846">
        <v>15481.49</v>
      </c>
      <c r="E846">
        <v>3</v>
      </c>
      <c r="F846">
        <v>46444.47</v>
      </c>
      <c r="G846" s="1">
        <v>45432</v>
      </c>
      <c r="H846" t="s">
        <v>28</v>
      </c>
      <c r="I846">
        <v>2.1</v>
      </c>
    </row>
    <row r="847" spans="1:9" x14ac:dyDescent="0.3">
      <c r="A847" t="s">
        <v>890</v>
      </c>
      <c r="B847" t="s">
        <v>32</v>
      </c>
      <c r="C847" t="s">
        <v>25</v>
      </c>
      <c r="D847">
        <v>33814.720000000001</v>
      </c>
      <c r="E847">
        <v>2</v>
      </c>
      <c r="F847">
        <v>67629.440000000002</v>
      </c>
      <c r="G847" s="1">
        <v>45574</v>
      </c>
      <c r="H847" t="s">
        <v>56</v>
      </c>
      <c r="I847">
        <v>1.3</v>
      </c>
    </row>
    <row r="848" spans="1:9" x14ac:dyDescent="0.3">
      <c r="A848" t="s">
        <v>891</v>
      </c>
      <c r="B848" t="s">
        <v>32</v>
      </c>
      <c r="C848" t="s">
        <v>25</v>
      </c>
      <c r="D848">
        <v>13559.39</v>
      </c>
      <c r="E848">
        <v>3</v>
      </c>
      <c r="F848">
        <v>40678.17</v>
      </c>
      <c r="G848" s="1">
        <v>45550</v>
      </c>
      <c r="H848" t="s">
        <v>56</v>
      </c>
      <c r="I848">
        <v>3.6</v>
      </c>
    </row>
    <row r="849" spans="1:9" x14ac:dyDescent="0.3">
      <c r="A849" t="s">
        <v>892</v>
      </c>
      <c r="B849" t="s">
        <v>54</v>
      </c>
      <c r="C849" t="s">
        <v>15</v>
      </c>
      <c r="D849">
        <v>18461.509999999998</v>
      </c>
      <c r="E849">
        <v>3</v>
      </c>
      <c r="F849">
        <v>55384.53</v>
      </c>
      <c r="G849" s="1">
        <v>45549</v>
      </c>
      <c r="H849" t="s">
        <v>42</v>
      </c>
      <c r="I849">
        <v>4.4000000000000004</v>
      </c>
    </row>
    <row r="850" spans="1:9" x14ac:dyDescent="0.3">
      <c r="A850" t="s">
        <v>893</v>
      </c>
      <c r="B850" t="s">
        <v>44</v>
      </c>
      <c r="C850" t="s">
        <v>22</v>
      </c>
      <c r="D850">
        <v>22868.39</v>
      </c>
      <c r="E850">
        <v>4</v>
      </c>
      <c r="F850">
        <v>91473.56</v>
      </c>
      <c r="G850" s="1">
        <v>45446</v>
      </c>
      <c r="H850" t="s">
        <v>12</v>
      </c>
      <c r="I850">
        <v>1.3</v>
      </c>
    </row>
    <row r="851" spans="1:9" x14ac:dyDescent="0.3">
      <c r="A851" t="s">
        <v>894</v>
      </c>
      <c r="B851" t="s">
        <v>120</v>
      </c>
      <c r="C851" t="s">
        <v>25</v>
      </c>
      <c r="D851">
        <v>17795.7</v>
      </c>
      <c r="E851">
        <v>2</v>
      </c>
      <c r="F851">
        <v>35591.4</v>
      </c>
      <c r="G851" s="1">
        <v>45458</v>
      </c>
      <c r="H851" t="s">
        <v>42</v>
      </c>
      <c r="I851">
        <v>4.2</v>
      </c>
    </row>
    <row r="852" spans="1:9" x14ac:dyDescent="0.3">
      <c r="A852" t="s">
        <v>895</v>
      </c>
      <c r="B852" t="s">
        <v>38</v>
      </c>
      <c r="C852" t="s">
        <v>19</v>
      </c>
      <c r="D852">
        <v>20095.189999999999</v>
      </c>
      <c r="E852">
        <v>4</v>
      </c>
      <c r="F852">
        <v>80380.759999999995</v>
      </c>
      <c r="G852" s="1">
        <v>45670</v>
      </c>
      <c r="H852" t="s">
        <v>47</v>
      </c>
      <c r="I852">
        <v>2.7</v>
      </c>
    </row>
    <row r="853" spans="1:9" x14ac:dyDescent="0.3">
      <c r="A853" t="s">
        <v>896</v>
      </c>
      <c r="B853" t="s">
        <v>24</v>
      </c>
      <c r="C853" t="s">
        <v>25</v>
      </c>
      <c r="D853">
        <v>13998.81</v>
      </c>
      <c r="E853">
        <v>2</v>
      </c>
      <c r="F853">
        <v>27997.62</v>
      </c>
      <c r="G853" s="1">
        <v>45486</v>
      </c>
      <c r="H853" t="s">
        <v>56</v>
      </c>
      <c r="I853">
        <v>2.7</v>
      </c>
    </row>
    <row r="854" spans="1:9" x14ac:dyDescent="0.3">
      <c r="A854" t="s">
        <v>897</v>
      </c>
      <c r="B854" t="s">
        <v>27</v>
      </c>
      <c r="C854" t="s">
        <v>25</v>
      </c>
      <c r="D854">
        <v>787.27</v>
      </c>
      <c r="E854">
        <v>3</v>
      </c>
      <c r="F854">
        <v>2361.81</v>
      </c>
      <c r="G854" s="1">
        <v>45388</v>
      </c>
      <c r="H854" t="s">
        <v>16</v>
      </c>
      <c r="I854">
        <v>2.1</v>
      </c>
    </row>
    <row r="855" spans="1:9" x14ac:dyDescent="0.3">
      <c r="A855" t="s">
        <v>898</v>
      </c>
      <c r="B855" t="s">
        <v>71</v>
      </c>
      <c r="C855" t="s">
        <v>22</v>
      </c>
      <c r="D855">
        <v>47363.199999999997</v>
      </c>
      <c r="E855">
        <v>3</v>
      </c>
      <c r="F855">
        <v>142089.60000000001</v>
      </c>
      <c r="G855" s="1">
        <v>45608</v>
      </c>
      <c r="H855" t="s">
        <v>47</v>
      </c>
      <c r="I855">
        <v>3.3</v>
      </c>
    </row>
    <row r="856" spans="1:9" x14ac:dyDescent="0.3">
      <c r="A856" t="s">
        <v>899</v>
      </c>
      <c r="B856" t="s">
        <v>30</v>
      </c>
      <c r="C856" t="s">
        <v>15</v>
      </c>
      <c r="D856">
        <v>9655.0300000000007</v>
      </c>
      <c r="E856">
        <v>4</v>
      </c>
      <c r="F856">
        <v>38620.120000000003</v>
      </c>
      <c r="G856" s="1">
        <v>45612</v>
      </c>
      <c r="H856" t="s">
        <v>47</v>
      </c>
      <c r="I856">
        <v>1.5</v>
      </c>
    </row>
    <row r="857" spans="1:9" x14ac:dyDescent="0.3">
      <c r="A857" t="s">
        <v>900</v>
      </c>
      <c r="B857" t="s">
        <v>24</v>
      </c>
      <c r="C857" t="s">
        <v>25</v>
      </c>
      <c r="D857">
        <v>24151.49</v>
      </c>
      <c r="E857">
        <v>1</v>
      </c>
      <c r="F857">
        <v>24151.49</v>
      </c>
      <c r="G857" s="1">
        <v>45567</v>
      </c>
      <c r="H857" t="s">
        <v>16</v>
      </c>
      <c r="I857">
        <v>4.8</v>
      </c>
    </row>
    <row r="858" spans="1:9" x14ac:dyDescent="0.3">
      <c r="A858" t="s">
        <v>901</v>
      </c>
      <c r="B858" t="s">
        <v>46</v>
      </c>
      <c r="C858" t="s">
        <v>11</v>
      </c>
      <c r="D858">
        <v>3697.32</v>
      </c>
      <c r="E858">
        <v>4</v>
      </c>
      <c r="F858">
        <v>14789.28</v>
      </c>
      <c r="G858" s="1">
        <v>45349</v>
      </c>
      <c r="H858" t="s">
        <v>16</v>
      </c>
      <c r="I858">
        <v>1.3</v>
      </c>
    </row>
    <row r="859" spans="1:9" x14ac:dyDescent="0.3">
      <c r="A859" t="s">
        <v>902</v>
      </c>
      <c r="B859" t="s">
        <v>10</v>
      </c>
      <c r="C859" t="s">
        <v>11</v>
      </c>
      <c r="D859">
        <v>43840.04</v>
      </c>
      <c r="E859">
        <v>5</v>
      </c>
      <c r="F859">
        <v>219200.2</v>
      </c>
      <c r="G859" s="1">
        <v>45638</v>
      </c>
      <c r="H859" t="s">
        <v>47</v>
      </c>
      <c r="I859">
        <v>3</v>
      </c>
    </row>
    <row r="860" spans="1:9" x14ac:dyDescent="0.3">
      <c r="A860" t="s">
        <v>903</v>
      </c>
      <c r="B860" t="s">
        <v>120</v>
      </c>
      <c r="C860" t="s">
        <v>25</v>
      </c>
      <c r="D860">
        <v>6494.62</v>
      </c>
      <c r="E860">
        <v>5</v>
      </c>
      <c r="F860">
        <v>32473.1</v>
      </c>
      <c r="G860" s="1">
        <v>45539</v>
      </c>
      <c r="H860" t="s">
        <v>16</v>
      </c>
      <c r="I860">
        <v>2.6</v>
      </c>
    </row>
    <row r="861" spans="1:9" x14ac:dyDescent="0.3">
      <c r="A861" t="s">
        <v>904</v>
      </c>
      <c r="B861" t="s">
        <v>10</v>
      </c>
      <c r="C861" t="s">
        <v>11</v>
      </c>
      <c r="D861">
        <v>7761.67</v>
      </c>
      <c r="E861">
        <v>1</v>
      </c>
      <c r="F861">
        <v>7761.67</v>
      </c>
      <c r="G861" s="1">
        <v>45691</v>
      </c>
      <c r="H861" t="s">
        <v>16</v>
      </c>
      <c r="I861">
        <v>4.8</v>
      </c>
    </row>
    <row r="862" spans="1:9" x14ac:dyDescent="0.3">
      <c r="A862" t="s">
        <v>905</v>
      </c>
      <c r="B862" t="s">
        <v>69</v>
      </c>
      <c r="C862" t="s">
        <v>19</v>
      </c>
      <c r="D862">
        <v>43300.52</v>
      </c>
      <c r="E862">
        <v>4</v>
      </c>
      <c r="F862">
        <v>173202.08</v>
      </c>
      <c r="G862" s="1">
        <v>45588</v>
      </c>
      <c r="H862" t="s">
        <v>42</v>
      </c>
      <c r="I862">
        <v>1.1000000000000001</v>
      </c>
    </row>
    <row r="863" spans="1:9" x14ac:dyDescent="0.3">
      <c r="A863" t="s">
        <v>906</v>
      </c>
      <c r="B863" t="s">
        <v>120</v>
      </c>
      <c r="C863" t="s">
        <v>25</v>
      </c>
      <c r="D863">
        <v>36583.040000000001</v>
      </c>
      <c r="E863">
        <v>4</v>
      </c>
      <c r="F863">
        <v>146332.16</v>
      </c>
      <c r="G863" s="1">
        <v>45400</v>
      </c>
      <c r="H863" t="s">
        <v>42</v>
      </c>
      <c r="I863">
        <v>2</v>
      </c>
    </row>
    <row r="864" spans="1:9" x14ac:dyDescent="0.3">
      <c r="A864" t="s">
        <v>907</v>
      </c>
      <c r="B864" t="s">
        <v>21</v>
      </c>
      <c r="C864" t="s">
        <v>22</v>
      </c>
      <c r="D864">
        <v>43298.080000000002</v>
      </c>
      <c r="E864">
        <v>3</v>
      </c>
      <c r="F864">
        <v>129894.24</v>
      </c>
      <c r="G864" s="1">
        <v>45501</v>
      </c>
      <c r="H864" t="s">
        <v>16</v>
      </c>
      <c r="I864">
        <v>1.6</v>
      </c>
    </row>
    <row r="865" spans="1:9" x14ac:dyDescent="0.3">
      <c r="A865" t="s">
        <v>908</v>
      </c>
      <c r="B865" t="s">
        <v>100</v>
      </c>
      <c r="C865" t="s">
        <v>11</v>
      </c>
      <c r="D865">
        <v>47427.3</v>
      </c>
      <c r="E865">
        <v>5</v>
      </c>
      <c r="F865">
        <v>237136.5</v>
      </c>
      <c r="G865" s="1">
        <v>45380</v>
      </c>
      <c r="H865" t="s">
        <v>28</v>
      </c>
      <c r="I865">
        <v>4</v>
      </c>
    </row>
    <row r="866" spans="1:9" x14ac:dyDescent="0.3">
      <c r="A866" t="s">
        <v>909</v>
      </c>
      <c r="B866" t="s">
        <v>44</v>
      </c>
      <c r="C866" t="s">
        <v>22</v>
      </c>
      <c r="D866">
        <v>32950.949999999997</v>
      </c>
      <c r="E866">
        <v>5</v>
      </c>
      <c r="F866">
        <v>164754.75</v>
      </c>
      <c r="G866" s="1">
        <v>45499</v>
      </c>
      <c r="H866" t="s">
        <v>56</v>
      </c>
      <c r="I866">
        <v>2.2000000000000002</v>
      </c>
    </row>
    <row r="867" spans="1:9" x14ac:dyDescent="0.3">
      <c r="A867" t="s">
        <v>910</v>
      </c>
      <c r="B867" t="s">
        <v>18</v>
      </c>
      <c r="C867" t="s">
        <v>19</v>
      </c>
      <c r="D867">
        <v>14064.35</v>
      </c>
      <c r="E867">
        <v>2</v>
      </c>
      <c r="F867">
        <v>28128.7</v>
      </c>
      <c r="G867" s="1">
        <v>45401</v>
      </c>
      <c r="H867" t="s">
        <v>56</v>
      </c>
      <c r="I867">
        <v>2.9</v>
      </c>
    </row>
    <row r="868" spans="1:9" x14ac:dyDescent="0.3">
      <c r="A868" t="s">
        <v>911</v>
      </c>
      <c r="B868" t="s">
        <v>40</v>
      </c>
      <c r="C868" t="s">
        <v>19</v>
      </c>
      <c r="D868">
        <v>49911.75</v>
      </c>
      <c r="E868">
        <v>3</v>
      </c>
      <c r="F868">
        <v>149735.25</v>
      </c>
      <c r="G868" s="1">
        <v>45430</v>
      </c>
      <c r="H868" t="s">
        <v>28</v>
      </c>
      <c r="I868">
        <v>3.1</v>
      </c>
    </row>
    <row r="869" spans="1:9" x14ac:dyDescent="0.3">
      <c r="A869" t="s">
        <v>912</v>
      </c>
      <c r="B869" t="s">
        <v>82</v>
      </c>
      <c r="C869" t="s">
        <v>22</v>
      </c>
      <c r="D869">
        <v>40986.82</v>
      </c>
      <c r="E869">
        <v>3</v>
      </c>
      <c r="F869">
        <v>122960.46</v>
      </c>
      <c r="G869" s="1">
        <v>45679</v>
      </c>
      <c r="H869" t="s">
        <v>42</v>
      </c>
      <c r="I869">
        <v>3.5</v>
      </c>
    </row>
    <row r="870" spans="1:9" x14ac:dyDescent="0.3">
      <c r="A870" t="s">
        <v>913</v>
      </c>
      <c r="B870" t="s">
        <v>120</v>
      </c>
      <c r="C870" t="s">
        <v>25</v>
      </c>
      <c r="D870">
        <v>32863.879999999997</v>
      </c>
      <c r="E870">
        <v>4</v>
      </c>
      <c r="F870">
        <v>131455.51999999999</v>
      </c>
      <c r="G870" s="1">
        <v>45366</v>
      </c>
      <c r="H870" t="s">
        <v>28</v>
      </c>
      <c r="I870">
        <v>4.9000000000000004</v>
      </c>
    </row>
    <row r="871" spans="1:9" x14ac:dyDescent="0.3">
      <c r="A871" t="s">
        <v>914</v>
      </c>
      <c r="B871" t="s">
        <v>38</v>
      </c>
      <c r="C871" t="s">
        <v>19</v>
      </c>
      <c r="D871">
        <v>37424.589999999997</v>
      </c>
      <c r="E871">
        <v>4</v>
      </c>
      <c r="F871">
        <v>149698.35999999999</v>
      </c>
      <c r="G871" s="1">
        <v>45505</v>
      </c>
      <c r="H871" t="s">
        <v>56</v>
      </c>
      <c r="I871">
        <v>1.2</v>
      </c>
    </row>
    <row r="872" spans="1:9" x14ac:dyDescent="0.3">
      <c r="A872" t="s">
        <v>915</v>
      </c>
      <c r="B872" t="s">
        <v>32</v>
      </c>
      <c r="C872" t="s">
        <v>25</v>
      </c>
      <c r="D872">
        <v>36930.76</v>
      </c>
      <c r="E872">
        <v>2</v>
      </c>
      <c r="F872">
        <v>73861.52</v>
      </c>
      <c r="G872" s="1">
        <v>45427</v>
      </c>
      <c r="H872" t="s">
        <v>12</v>
      </c>
      <c r="I872">
        <v>1.9</v>
      </c>
    </row>
    <row r="873" spans="1:9" x14ac:dyDescent="0.3">
      <c r="A873" t="s">
        <v>916</v>
      </c>
      <c r="B873" t="s">
        <v>50</v>
      </c>
      <c r="C873" t="s">
        <v>11</v>
      </c>
      <c r="D873">
        <v>40379.730000000003</v>
      </c>
      <c r="E873">
        <v>1</v>
      </c>
      <c r="F873">
        <v>40379.730000000003</v>
      </c>
      <c r="G873" s="1">
        <v>45598</v>
      </c>
      <c r="H873" t="s">
        <v>42</v>
      </c>
      <c r="I873">
        <v>3.8</v>
      </c>
    </row>
    <row r="874" spans="1:9" x14ac:dyDescent="0.3">
      <c r="A874" t="s">
        <v>917</v>
      </c>
      <c r="B874" t="s">
        <v>54</v>
      </c>
      <c r="C874" t="s">
        <v>15</v>
      </c>
      <c r="D874">
        <v>16938.75</v>
      </c>
      <c r="E874">
        <v>5</v>
      </c>
      <c r="F874">
        <v>84693.75</v>
      </c>
      <c r="G874" s="1">
        <v>45351</v>
      </c>
      <c r="H874" t="s">
        <v>12</v>
      </c>
      <c r="I874">
        <v>3.2</v>
      </c>
    </row>
    <row r="875" spans="1:9" x14ac:dyDescent="0.3">
      <c r="A875" t="s">
        <v>918</v>
      </c>
      <c r="B875" t="s">
        <v>151</v>
      </c>
      <c r="C875" t="s">
        <v>15</v>
      </c>
      <c r="D875">
        <v>2415.3200000000002</v>
      </c>
      <c r="E875">
        <v>5</v>
      </c>
      <c r="F875">
        <v>12076.6</v>
      </c>
      <c r="G875" s="1">
        <v>45559</v>
      </c>
      <c r="H875" t="s">
        <v>42</v>
      </c>
      <c r="I875">
        <v>3.2</v>
      </c>
    </row>
    <row r="876" spans="1:9" x14ac:dyDescent="0.3">
      <c r="A876" t="s">
        <v>919</v>
      </c>
      <c r="B876" t="s">
        <v>69</v>
      </c>
      <c r="C876" t="s">
        <v>19</v>
      </c>
      <c r="D876">
        <v>49127.14</v>
      </c>
      <c r="E876">
        <v>3</v>
      </c>
      <c r="F876">
        <v>147381.42000000001</v>
      </c>
      <c r="G876" s="1">
        <v>45535</v>
      </c>
      <c r="H876" t="s">
        <v>16</v>
      </c>
      <c r="I876">
        <v>1</v>
      </c>
    </row>
    <row r="877" spans="1:9" x14ac:dyDescent="0.3">
      <c r="A877" t="s">
        <v>920</v>
      </c>
      <c r="B877" t="s">
        <v>34</v>
      </c>
      <c r="C877" t="s">
        <v>15</v>
      </c>
      <c r="D877">
        <v>1416.84</v>
      </c>
      <c r="E877">
        <v>3</v>
      </c>
      <c r="F877">
        <v>4250.5200000000004</v>
      </c>
      <c r="G877" s="1">
        <v>45450</v>
      </c>
      <c r="H877" t="s">
        <v>56</v>
      </c>
      <c r="I877">
        <v>1.8</v>
      </c>
    </row>
    <row r="878" spans="1:9" x14ac:dyDescent="0.3">
      <c r="A878" t="s">
        <v>921</v>
      </c>
      <c r="B878" t="s">
        <v>69</v>
      </c>
      <c r="C878" t="s">
        <v>19</v>
      </c>
      <c r="D878">
        <v>21112.13</v>
      </c>
      <c r="E878">
        <v>3</v>
      </c>
      <c r="F878">
        <v>63336.39</v>
      </c>
      <c r="G878" s="1">
        <v>45526</v>
      </c>
      <c r="H878" t="s">
        <v>16</v>
      </c>
      <c r="I878">
        <v>1.9</v>
      </c>
    </row>
    <row r="879" spans="1:9" x14ac:dyDescent="0.3">
      <c r="A879" t="s">
        <v>922</v>
      </c>
      <c r="B879" t="s">
        <v>40</v>
      </c>
      <c r="C879" t="s">
        <v>19</v>
      </c>
      <c r="D879">
        <v>13061.91</v>
      </c>
      <c r="E879">
        <v>5</v>
      </c>
      <c r="F879">
        <v>65309.55</v>
      </c>
      <c r="G879" s="1">
        <v>45589</v>
      </c>
      <c r="H879" t="s">
        <v>12</v>
      </c>
      <c r="I879">
        <v>1.9</v>
      </c>
    </row>
    <row r="880" spans="1:9" x14ac:dyDescent="0.3">
      <c r="A880" t="s">
        <v>923</v>
      </c>
      <c r="B880" t="s">
        <v>100</v>
      </c>
      <c r="C880" t="s">
        <v>11</v>
      </c>
      <c r="D880">
        <v>7465.89</v>
      </c>
      <c r="E880">
        <v>5</v>
      </c>
      <c r="F880">
        <v>37329.449999999997</v>
      </c>
      <c r="G880" s="1">
        <v>45379</v>
      </c>
      <c r="H880" t="s">
        <v>12</v>
      </c>
      <c r="I880">
        <v>4.4000000000000004</v>
      </c>
    </row>
    <row r="881" spans="1:9" x14ac:dyDescent="0.3">
      <c r="A881" t="s">
        <v>924</v>
      </c>
      <c r="B881" t="s">
        <v>93</v>
      </c>
      <c r="C881" t="s">
        <v>11</v>
      </c>
      <c r="D881">
        <v>38005.050000000003</v>
      </c>
      <c r="E881">
        <v>1</v>
      </c>
      <c r="F881">
        <v>38005.050000000003</v>
      </c>
      <c r="G881" s="1">
        <v>45658</v>
      </c>
      <c r="H881" t="s">
        <v>16</v>
      </c>
      <c r="I881">
        <v>4</v>
      </c>
    </row>
    <row r="882" spans="1:9" x14ac:dyDescent="0.3">
      <c r="A882" t="s">
        <v>925</v>
      </c>
      <c r="B882" t="s">
        <v>54</v>
      </c>
      <c r="C882" t="s">
        <v>15</v>
      </c>
      <c r="D882">
        <v>42307.18</v>
      </c>
      <c r="E882">
        <v>5</v>
      </c>
      <c r="F882">
        <v>211535.9</v>
      </c>
      <c r="G882" s="1">
        <v>45525</v>
      </c>
      <c r="H882" t="s">
        <v>42</v>
      </c>
      <c r="I882">
        <v>4.0999999999999996</v>
      </c>
    </row>
    <row r="883" spans="1:9" x14ac:dyDescent="0.3">
      <c r="A883" t="s">
        <v>926</v>
      </c>
      <c r="B883" t="s">
        <v>27</v>
      </c>
      <c r="C883" t="s">
        <v>25</v>
      </c>
      <c r="D883">
        <v>28727.4</v>
      </c>
      <c r="E883">
        <v>3</v>
      </c>
      <c r="F883">
        <v>86182.2</v>
      </c>
      <c r="G883" s="1">
        <v>45434</v>
      </c>
      <c r="H883" t="s">
        <v>42</v>
      </c>
      <c r="I883">
        <v>4.7</v>
      </c>
    </row>
    <row r="884" spans="1:9" x14ac:dyDescent="0.3">
      <c r="A884" t="s">
        <v>927</v>
      </c>
      <c r="B884" t="s">
        <v>69</v>
      </c>
      <c r="C884" t="s">
        <v>19</v>
      </c>
      <c r="D884">
        <v>8465.2800000000007</v>
      </c>
      <c r="E884">
        <v>3</v>
      </c>
      <c r="F884">
        <v>25395.84</v>
      </c>
      <c r="G884" s="1">
        <v>45638</v>
      </c>
      <c r="H884" t="s">
        <v>47</v>
      </c>
      <c r="I884">
        <v>1.8</v>
      </c>
    </row>
    <row r="885" spans="1:9" x14ac:dyDescent="0.3">
      <c r="A885" t="s">
        <v>928</v>
      </c>
      <c r="B885" t="s">
        <v>50</v>
      </c>
      <c r="C885" t="s">
        <v>11</v>
      </c>
      <c r="D885">
        <v>17194.75</v>
      </c>
      <c r="E885">
        <v>3</v>
      </c>
      <c r="F885">
        <v>51584.25</v>
      </c>
      <c r="G885" s="1">
        <v>45427</v>
      </c>
      <c r="H885" t="s">
        <v>28</v>
      </c>
      <c r="I885">
        <v>1.9</v>
      </c>
    </row>
    <row r="886" spans="1:9" x14ac:dyDescent="0.3">
      <c r="A886" t="s">
        <v>929</v>
      </c>
      <c r="B886" t="s">
        <v>30</v>
      </c>
      <c r="C886" t="s">
        <v>15</v>
      </c>
      <c r="D886">
        <v>26550.66</v>
      </c>
      <c r="E886">
        <v>4</v>
      </c>
      <c r="F886">
        <v>106202.64</v>
      </c>
      <c r="G886" s="1">
        <v>45360</v>
      </c>
      <c r="H886" t="s">
        <v>42</v>
      </c>
      <c r="I886">
        <v>3.3</v>
      </c>
    </row>
    <row r="887" spans="1:9" x14ac:dyDescent="0.3">
      <c r="A887" t="s">
        <v>930</v>
      </c>
      <c r="B887" t="s">
        <v>10</v>
      </c>
      <c r="C887" t="s">
        <v>11</v>
      </c>
      <c r="D887">
        <v>24335.78</v>
      </c>
      <c r="E887">
        <v>4</v>
      </c>
      <c r="F887">
        <v>97343.12</v>
      </c>
      <c r="G887" s="1">
        <v>45391</v>
      </c>
      <c r="H887" t="s">
        <v>16</v>
      </c>
      <c r="I887">
        <v>3.1</v>
      </c>
    </row>
    <row r="888" spans="1:9" x14ac:dyDescent="0.3">
      <c r="A888" t="s">
        <v>931</v>
      </c>
      <c r="B888" t="s">
        <v>120</v>
      </c>
      <c r="C888" t="s">
        <v>25</v>
      </c>
      <c r="D888">
        <v>17308.52</v>
      </c>
      <c r="E888">
        <v>1</v>
      </c>
      <c r="F888">
        <v>17308.52</v>
      </c>
      <c r="G888" s="1">
        <v>45594</v>
      </c>
      <c r="H888" t="s">
        <v>56</v>
      </c>
      <c r="I888">
        <v>2.2000000000000002</v>
      </c>
    </row>
    <row r="889" spans="1:9" x14ac:dyDescent="0.3">
      <c r="A889" t="s">
        <v>932</v>
      </c>
      <c r="B889" t="s">
        <v>71</v>
      </c>
      <c r="C889" t="s">
        <v>22</v>
      </c>
      <c r="D889">
        <v>18097.79</v>
      </c>
      <c r="E889">
        <v>1</v>
      </c>
      <c r="F889">
        <v>18097.79</v>
      </c>
      <c r="G889" s="1">
        <v>45434</v>
      </c>
      <c r="H889" t="s">
        <v>56</v>
      </c>
      <c r="I889">
        <v>3.8</v>
      </c>
    </row>
    <row r="890" spans="1:9" x14ac:dyDescent="0.3">
      <c r="A890" t="s">
        <v>933</v>
      </c>
      <c r="B890" t="s">
        <v>50</v>
      </c>
      <c r="C890" t="s">
        <v>11</v>
      </c>
      <c r="D890">
        <v>45792.57</v>
      </c>
      <c r="E890">
        <v>2</v>
      </c>
      <c r="F890">
        <v>91585.14</v>
      </c>
      <c r="G890" s="1">
        <v>45453</v>
      </c>
      <c r="H890" t="s">
        <v>47</v>
      </c>
      <c r="I890">
        <v>3.1</v>
      </c>
    </row>
    <row r="891" spans="1:9" x14ac:dyDescent="0.3">
      <c r="A891" t="s">
        <v>934</v>
      </c>
      <c r="B891" t="s">
        <v>69</v>
      </c>
      <c r="C891" t="s">
        <v>19</v>
      </c>
      <c r="D891">
        <v>35879.79</v>
      </c>
      <c r="E891">
        <v>4</v>
      </c>
      <c r="F891">
        <v>143519.16</v>
      </c>
      <c r="G891" s="1">
        <v>45353</v>
      </c>
      <c r="H891" t="s">
        <v>16</v>
      </c>
      <c r="I891">
        <v>4.4000000000000004</v>
      </c>
    </row>
    <row r="892" spans="1:9" x14ac:dyDescent="0.3">
      <c r="A892" t="s">
        <v>935</v>
      </c>
      <c r="B892" t="s">
        <v>24</v>
      </c>
      <c r="C892" t="s">
        <v>25</v>
      </c>
      <c r="D892">
        <v>16158.74</v>
      </c>
      <c r="E892">
        <v>3</v>
      </c>
      <c r="F892">
        <v>48476.22</v>
      </c>
      <c r="G892" s="1">
        <v>45528</v>
      </c>
      <c r="H892" t="s">
        <v>42</v>
      </c>
      <c r="I892">
        <v>4.2</v>
      </c>
    </row>
    <row r="893" spans="1:9" x14ac:dyDescent="0.3">
      <c r="A893" t="s">
        <v>936</v>
      </c>
      <c r="B893" t="s">
        <v>14</v>
      </c>
      <c r="C893" t="s">
        <v>15</v>
      </c>
      <c r="D893">
        <v>15387.4</v>
      </c>
      <c r="E893">
        <v>1</v>
      </c>
      <c r="F893">
        <v>15387.4</v>
      </c>
      <c r="G893" s="1">
        <v>45354</v>
      </c>
      <c r="H893" t="s">
        <v>16</v>
      </c>
      <c r="I893">
        <v>4.2</v>
      </c>
    </row>
    <row r="894" spans="1:9" x14ac:dyDescent="0.3">
      <c r="A894" t="s">
        <v>937</v>
      </c>
      <c r="B894" t="s">
        <v>93</v>
      </c>
      <c r="C894" t="s">
        <v>11</v>
      </c>
      <c r="D894">
        <v>11134.83</v>
      </c>
      <c r="E894">
        <v>5</v>
      </c>
      <c r="F894">
        <v>55674.15</v>
      </c>
      <c r="G894" s="1">
        <v>45574</v>
      </c>
      <c r="H894" t="s">
        <v>56</v>
      </c>
      <c r="I894">
        <v>3.2</v>
      </c>
    </row>
    <row r="895" spans="1:9" x14ac:dyDescent="0.3">
      <c r="A895" t="s">
        <v>938</v>
      </c>
      <c r="B895" t="s">
        <v>18</v>
      </c>
      <c r="C895" t="s">
        <v>19</v>
      </c>
      <c r="D895">
        <v>49835.85</v>
      </c>
      <c r="E895">
        <v>3</v>
      </c>
      <c r="F895">
        <v>149507.54999999999</v>
      </c>
      <c r="G895" s="1">
        <v>45537</v>
      </c>
      <c r="H895" t="s">
        <v>47</v>
      </c>
      <c r="I895">
        <v>4.5</v>
      </c>
    </row>
    <row r="896" spans="1:9" x14ac:dyDescent="0.3">
      <c r="A896" t="s">
        <v>939</v>
      </c>
      <c r="B896" t="s">
        <v>36</v>
      </c>
      <c r="C896" t="s">
        <v>22</v>
      </c>
      <c r="D896">
        <v>1002.29</v>
      </c>
      <c r="E896">
        <v>1</v>
      </c>
      <c r="F896">
        <v>1002.29</v>
      </c>
      <c r="G896" s="1">
        <v>45665</v>
      </c>
      <c r="H896" t="s">
        <v>16</v>
      </c>
      <c r="I896">
        <v>1.4</v>
      </c>
    </row>
    <row r="897" spans="1:9" x14ac:dyDescent="0.3">
      <c r="A897" t="s">
        <v>940</v>
      </c>
      <c r="B897" t="s">
        <v>82</v>
      </c>
      <c r="C897" t="s">
        <v>22</v>
      </c>
      <c r="D897">
        <v>26448.240000000002</v>
      </c>
      <c r="E897">
        <v>4</v>
      </c>
      <c r="F897">
        <v>105792.96000000001</v>
      </c>
      <c r="G897" s="1">
        <v>45493</v>
      </c>
      <c r="H897" t="s">
        <v>56</v>
      </c>
      <c r="I897">
        <v>1.2</v>
      </c>
    </row>
    <row r="898" spans="1:9" x14ac:dyDescent="0.3">
      <c r="A898" t="s">
        <v>941</v>
      </c>
      <c r="B898" t="s">
        <v>40</v>
      </c>
      <c r="C898" t="s">
        <v>19</v>
      </c>
      <c r="D898">
        <v>30650.46</v>
      </c>
      <c r="E898">
        <v>5</v>
      </c>
      <c r="F898">
        <v>153252.29999999999</v>
      </c>
      <c r="G898" s="1">
        <v>45547</v>
      </c>
      <c r="H898" t="s">
        <v>56</v>
      </c>
      <c r="I898">
        <v>1.6</v>
      </c>
    </row>
    <row r="899" spans="1:9" x14ac:dyDescent="0.3">
      <c r="A899" t="s">
        <v>942</v>
      </c>
      <c r="B899" t="s">
        <v>27</v>
      </c>
      <c r="C899" t="s">
        <v>25</v>
      </c>
      <c r="D899">
        <v>31978.03</v>
      </c>
      <c r="E899">
        <v>2</v>
      </c>
      <c r="F899">
        <v>63956.06</v>
      </c>
      <c r="G899" s="1">
        <v>45431</v>
      </c>
      <c r="H899" t="s">
        <v>47</v>
      </c>
      <c r="I899">
        <v>3.7</v>
      </c>
    </row>
    <row r="900" spans="1:9" x14ac:dyDescent="0.3">
      <c r="A900" t="s">
        <v>943</v>
      </c>
      <c r="B900" t="s">
        <v>151</v>
      </c>
      <c r="C900" t="s">
        <v>15</v>
      </c>
      <c r="D900">
        <v>45516.21</v>
      </c>
      <c r="E900">
        <v>1</v>
      </c>
      <c r="F900">
        <v>45516.21</v>
      </c>
      <c r="G900" s="1">
        <v>45492</v>
      </c>
      <c r="H900" t="s">
        <v>16</v>
      </c>
      <c r="I900">
        <v>1</v>
      </c>
    </row>
    <row r="901" spans="1:9" x14ac:dyDescent="0.3">
      <c r="A901" t="s">
        <v>944</v>
      </c>
      <c r="B901" t="s">
        <v>46</v>
      </c>
      <c r="C901" t="s">
        <v>11</v>
      </c>
      <c r="D901">
        <v>31922.03</v>
      </c>
      <c r="E901">
        <v>1</v>
      </c>
      <c r="F901">
        <v>31922.03</v>
      </c>
      <c r="G901" s="1">
        <v>45433</v>
      </c>
      <c r="H901" t="s">
        <v>56</v>
      </c>
      <c r="I901">
        <v>2.5</v>
      </c>
    </row>
    <row r="902" spans="1:9" x14ac:dyDescent="0.3">
      <c r="A902" t="s">
        <v>945</v>
      </c>
      <c r="B902" t="s">
        <v>40</v>
      </c>
      <c r="C902" t="s">
        <v>19</v>
      </c>
      <c r="D902">
        <v>3481.52</v>
      </c>
      <c r="E902">
        <v>3</v>
      </c>
      <c r="F902">
        <v>10444.56</v>
      </c>
      <c r="G902" s="1">
        <v>45508</v>
      </c>
      <c r="H902" t="s">
        <v>56</v>
      </c>
      <c r="I902">
        <v>1.1000000000000001</v>
      </c>
    </row>
    <row r="903" spans="1:9" x14ac:dyDescent="0.3">
      <c r="A903" t="s">
        <v>946</v>
      </c>
      <c r="B903" t="s">
        <v>32</v>
      </c>
      <c r="C903" t="s">
        <v>25</v>
      </c>
      <c r="D903">
        <v>27507.360000000001</v>
      </c>
      <c r="E903">
        <v>4</v>
      </c>
      <c r="F903">
        <v>110029.44</v>
      </c>
      <c r="G903" s="1">
        <v>45549</v>
      </c>
      <c r="H903" t="s">
        <v>47</v>
      </c>
      <c r="I903">
        <v>4.5</v>
      </c>
    </row>
    <row r="904" spans="1:9" x14ac:dyDescent="0.3">
      <c r="A904" t="s">
        <v>947</v>
      </c>
      <c r="B904" t="s">
        <v>32</v>
      </c>
      <c r="C904" t="s">
        <v>25</v>
      </c>
      <c r="D904">
        <v>34870.120000000003</v>
      </c>
      <c r="E904">
        <v>5</v>
      </c>
      <c r="F904">
        <v>174350.6</v>
      </c>
      <c r="G904" s="1">
        <v>45680</v>
      </c>
      <c r="H904" t="s">
        <v>12</v>
      </c>
      <c r="I904">
        <v>2.7</v>
      </c>
    </row>
    <row r="905" spans="1:9" x14ac:dyDescent="0.3">
      <c r="A905" t="s">
        <v>948</v>
      </c>
      <c r="B905" t="s">
        <v>32</v>
      </c>
      <c r="C905" t="s">
        <v>25</v>
      </c>
      <c r="D905">
        <v>11540.73</v>
      </c>
      <c r="E905">
        <v>1</v>
      </c>
      <c r="F905">
        <v>11540.73</v>
      </c>
      <c r="G905" s="1">
        <v>45512</v>
      </c>
      <c r="H905" t="s">
        <v>28</v>
      </c>
      <c r="I905">
        <v>3.6</v>
      </c>
    </row>
    <row r="906" spans="1:9" x14ac:dyDescent="0.3">
      <c r="A906" t="s">
        <v>949</v>
      </c>
      <c r="B906" t="s">
        <v>71</v>
      </c>
      <c r="C906" t="s">
        <v>22</v>
      </c>
      <c r="D906">
        <v>2926.8</v>
      </c>
      <c r="E906">
        <v>4</v>
      </c>
      <c r="F906">
        <v>11707.2</v>
      </c>
      <c r="G906" s="1">
        <v>45341</v>
      </c>
      <c r="H906" t="s">
        <v>47</v>
      </c>
      <c r="I906">
        <v>2.2999999999999998</v>
      </c>
    </row>
    <row r="907" spans="1:9" x14ac:dyDescent="0.3">
      <c r="A907" t="s">
        <v>950</v>
      </c>
      <c r="B907" t="s">
        <v>10</v>
      </c>
      <c r="C907" t="s">
        <v>11</v>
      </c>
      <c r="D907">
        <v>37341.949999999997</v>
      </c>
      <c r="E907">
        <v>2</v>
      </c>
      <c r="F907">
        <v>74683.899999999994</v>
      </c>
      <c r="G907" s="1">
        <v>45567</v>
      </c>
      <c r="H907" t="s">
        <v>12</v>
      </c>
      <c r="I907">
        <v>4.8</v>
      </c>
    </row>
    <row r="908" spans="1:9" x14ac:dyDescent="0.3">
      <c r="A908" t="s">
        <v>951</v>
      </c>
      <c r="B908" t="s">
        <v>32</v>
      </c>
      <c r="C908" t="s">
        <v>25</v>
      </c>
      <c r="D908">
        <v>30100.73</v>
      </c>
      <c r="E908">
        <v>1</v>
      </c>
      <c r="F908">
        <v>30100.73</v>
      </c>
      <c r="G908" s="1">
        <v>45352</v>
      </c>
      <c r="H908" t="s">
        <v>16</v>
      </c>
      <c r="I908">
        <v>1.7</v>
      </c>
    </row>
    <row r="909" spans="1:9" x14ac:dyDescent="0.3">
      <c r="A909" t="s">
        <v>952</v>
      </c>
      <c r="B909" t="s">
        <v>14</v>
      </c>
      <c r="C909" t="s">
        <v>15</v>
      </c>
      <c r="D909">
        <v>4442.1000000000004</v>
      </c>
      <c r="E909">
        <v>3</v>
      </c>
      <c r="F909">
        <v>13326.3</v>
      </c>
      <c r="G909" s="1">
        <v>45380</v>
      </c>
      <c r="H909" t="s">
        <v>12</v>
      </c>
      <c r="I909">
        <v>2.8</v>
      </c>
    </row>
    <row r="910" spans="1:9" x14ac:dyDescent="0.3">
      <c r="A910" t="s">
        <v>953</v>
      </c>
      <c r="B910" t="s">
        <v>60</v>
      </c>
      <c r="C910" t="s">
        <v>25</v>
      </c>
      <c r="D910">
        <v>18657.990000000002</v>
      </c>
      <c r="E910">
        <v>5</v>
      </c>
      <c r="F910">
        <v>93289.95</v>
      </c>
      <c r="G910" s="1">
        <v>45659</v>
      </c>
      <c r="H910" t="s">
        <v>56</v>
      </c>
      <c r="I910">
        <v>1.7</v>
      </c>
    </row>
    <row r="911" spans="1:9" x14ac:dyDescent="0.3">
      <c r="A911" t="s">
        <v>954</v>
      </c>
      <c r="B911" t="s">
        <v>75</v>
      </c>
      <c r="C911" t="s">
        <v>19</v>
      </c>
      <c r="D911">
        <v>41402.76</v>
      </c>
      <c r="E911">
        <v>1</v>
      </c>
      <c r="F911">
        <v>41402.76</v>
      </c>
      <c r="G911" s="1">
        <v>45483</v>
      </c>
      <c r="H911" t="s">
        <v>47</v>
      </c>
      <c r="I911">
        <v>3.2</v>
      </c>
    </row>
    <row r="912" spans="1:9" x14ac:dyDescent="0.3">
      <c r="A912" t="s">
        <v>955</v>
      </c>
      <c r="B912" t="s">
        <v>10</v>
      </c>
      <c r="C912" t="s">
        <v>11</v>
      </c>
      <c r="D912">
        <v>49796.61</v>
      </c>
      <c r="E912">
        <v>1</v>
      </c>
      <c r="F912">
        <v>49796.61</v>
      </c>
      <c r="G912" s="1">
        <v>45590</v>
      </c>
      <c r="H912" t="s">
        <v>42</v>
      </c>
      <c r="I912">
        <v>4.0999999999999996</v>
      </c>
    </row>
    <row r="913" spans="1:9" x14ac:dyDescent="0.3">
      <c r="A913" t="s">
        <v>956</v>
      </c>
      <c r="B913" t="s">
        <v>38</v>
      </c>
      <c r="C913" t="s">
        <v>19</v>
      </c>
      <c r="D913">
        <v>32712.91</v>
      </c>
      <c r="E913">
        <v>2</v>
      </c>
      <c r="F913">
        <v>65425.82</v>
      </c>
      <c r="G913" s="1">
        <v>45415</v>
      </c>
      <c r="H913" t="s">
        <v>56</v>
      </c>
      <c r="I913">
        <v>4.2</v>
      </c>
    </row>
    <row r="914" spans="1:9" x14ac:dyDescent="0.3">
      <c r="A914" t="s">
        <v>957</v>
      </c>
      <c r="B914" t="s">
        <v>18</v>
      </c>
      <c r="C914" t="s">
        <v>19</v>
      </c>
      <c r="D914">
        <v>26281.98</v>
      </c>
      <c r="E914">
        <v>1</v>
      </c>
      <c r="F914">
        <v>26281.98</v>
      </c>
      <c r="G914" s="1">
        <v>45467</v>
      </c>
      <c r="H914" t="s">
        <v>12</v>
      </c>
      <c r="I914">
        <v>4.3</v>
      </c>
    </row>
    <row r="915" spans="1:9" x14ac:dyDescent="0.3">
      <c r="A915" t="s">
        <v>958</v>
      </c>
      <c r="B915" t="s">
        <v>32</v>
      </c>
      <c r="C915" t="s">
        <v>25</v>
      </c>
      <c r="D915">
        <v>30805.88</v>
      </c>
      <c r="E915">
        <v>5</v>
      </c>
      <c r="F915">
        <v>154029.4</v>
      </c>
      <c r="G915" s="1">
        <v>45458</v>
      </c>
      <c r="H915" t="s">
        <v>47</v>
      </c>
      <c r="I915">
        <v>1.1000000000000001</v>
      </c>
    </row>
    <row r="916" spans="1:9" x14ac:dyDescent="0.3">
      <c r="A916" t="s">
        <v>959</v>
      </c>
      <c r="B916" t="s">
        <v>151</v>
      </c>
      <c r="C916" t="s">
        <v>15</v>
      </c>
      <c r="D916">
        <v>9045.23</v>
      </c>
      <c r="E916">
        <v>5</v>
      </c>
      <c r="F916">
        <v>45226.15</v>
      </c>
      <c r="G916" s="1">
        <v>45477</v>
      </c>
      <c r="H916" t="s">
        <v>42</v>
      </c>
      <c r="I916">
        <v>4.5999999999999996</v>
      </c>
    </row>
    <row r="917" spans="1:9" x14ac:dyDescent="0.3">
      <c r="A917" t="s">
        <v>960</v>
      </c>
      <c r="B917" t="s">
        <v>82</v>
      </c>
      <c r="C917" t="s">
        <v>22</v>
      </c>
      <c r="D917">
        <v>16003.38</v>
      </c>
      <c r="E917">
        <v>2</v>
      </c>
      <c r="F917">
        <v>32006.76</v>
      </c>
      <c r="G917" s="1">
        <v>45548</v>
      </c>
      <c r="H917" t="s">
        <v>16</v>
      </c>
      <c r="I917">
        <v>4.0999999999999996</v>
      </c>
    </row>
    <row r="918" spans="1:9" x14ac:dyDescent="0.3">
      <c r="A918" t="s">
        <v>961</v>
      </c>
      <c r="B918" t="s">
        <v>14</v>
      </c>
      <c r="C918" t="s">
        <v>15</v>
      </c>
      <c r="D918">
        <v>35139.53</v>
      </c>
      <c r="E918">
        <v>1</v>
      </c>
      <c r="F918">
        <v>35139.53</v>
      </c>
      <c r="G918" s="1">
        <v>45431</v>
      </c>
      <c r="H918" t="s">
        <v>28</v>
      </c>
      <c r="I918">
        <v>2.9</v>
      </c>
    </row>
    <row r="919" spans="1:9" x14ac:dyDescent="0.3">
      <c r="A919" t="s">
        <v>962</v>
      </c>
      <c r="B919" t="s">
        <v>93</v>
      </c>
      <c r="C919" t="s">
        <v>11</v>
      </c>
      <c r="D919">
        <v>13640.1</v>
      </c>
      <c r="E919">
        <v>4</v>
      </c>
      <c r="F919">
        <v>54560.4</v>
      </c>
      <c r="G919" s="1">
        <v>45392</v>
      </c>
      <c r="H919" t="s">
        <v>28</v>
      </c>
      <c r="I919">
        <v>3.3</v>
      </c>
    </row>
    <row r="920" spans="1:9" x14ac:dyDescent="0.3">
      <c r="A920" t="s">
        <v>963</v>
      </c>
      <c r="B920" t="s">
        <v>24</v>
      </c>
      <c r="C920" t="s">
        <v>25</v>
      </c>
      <c r="D920">
        <v>5535.76</v>
      </c>
      <c r="E920">
        <v>2</v>
      </c>
      <c r="F920">
        <v>11071.52</v>
      </c>
      <c r="G920" s="1">
        <v>45692</v>
      </c>
      <c r="H920" t="s">
        <v>16</v>
      </c>
      <c r="I920">
        <v>3.6</v>
      </c>
    </row>
    <row r="921" spans="1:9" x14ac:dyDescent="0.3">
      <c r="A921" t="s">
        <v>964</v>
      </c>
      <c r="B921" t="s">
        <v>27</v>
      </c>
      <c r="C921" t="s">
        <v>25</v>
      </c>
      <c r="D921">
        <v>1039.1099999999999</v>
      </c>
      <c r="E921">
        <v>4</v>
      </c>
      <c r="F921">
        <v>4156.4399999999996</v>
      </c>
      <c r="G921" s="1">
        <v>45582</v>
      </c>
      <c r="H921" t="s">
        <v>47</v>
      </c>
      <c r="I921">
        <v>3.8</v>
      </c>
    </row>
    <row r="922" spans="1:9" x14ac:dyDescent="0.3">
      <c r="A922" t="s">
        <v>965</v>
      </c>
      <c r="B922" t="s">
        <v>32</v>
      </c>
      <c r="C922" t="s">
        <v>25</v>
      </c>
      <c r="D922">
        <v>41169.65</v>
      </c>
      <c r="E922">
        <v>5</v>
      </c>
      <c r="F922">
        <v>205848.25</v>
      </c>
      <c r="G922" s="1">
        <v>45641</v>
      </c>
      <c r="H922" t="s">
        <v>47</v>
      </c>
      <c r="I922">
        <v>2.7</v>
      </c>
    </row>
    <row r="923" spans="1:9" x14ac:dyDescent="0.3">
      <c r="A923" t="s">
        <v>966</v>
      </c>
      <c r="B923" t="s">
        <v>71</v>
      </c>
      <c r="C923" t="s">
        <v>22</v>
      </c>
      <c r="D923">
        <v>21472.14</v>
      </c>
      <c r="E923">
        <v>2</v>
      </c>
      <c r="F923">
        <v>42944.28</v>
      </c>
      <c r="G923" s="1">
        <v>45543</v>
      </c>
      <c r="H923" t="s">
        <v>12</v>
      </c>
      <c r="I923">
        <v>3.4</v>
      </c>
    </row>
    <row r="924" spans="1:9" x14ac:dyDescent="0.3">
      <c r="A924" t="s">
        <v>967</v>
      </c>
      <c r="B924" t="s">
        <v>46</v>
      </c>
      <c r="C924" t="s">
        <v>11</v>
      </c>
      <c r="D924">
        <v>7936.7</v>
      </c>
      <c r="E924">
        <v>5</v>
      </c>
      <c r="F924">
        <v>39683.5</v>
      </c>
      <c r="G924" s="1">
        <v>45636</v>
      </c>
      <c r="H924" t="s">
        <v>12</v>
      </c>
      <c r="I924">
        <v>3.1</v>
      </c>
    </row>
    <row r="925" spans="1:9" x14ac:dyDescent="0.3">
      <c r="A925" t="s">
        <v>968</v>
      </c>
      <c r="B925" t="s">
        <v>34</v>
      </c>
      <c r="C925" t="s">
        <v>15</v>
      </c>
      <c r="D925">
        <v>23939.919999999998</v>
      </c>
      <c r="E925">
        <v>3</v>
      </c>
      <c r="F925">
        <v>71819.759999999995</v>
      </c>
      <c r="G925" s="1">
        <v>45636</v>
      </c>
      <c r="H925" t="s">
        <v>56</v>
      </c>
      <c r="I925">
        <v>2.1</v>
      </c>
    </row>
    <row r="926" spans="1:9" x14ac:dyDescent="0.3">
      <c r="A926" t="s">
        <v>969</v>
      </c>
      <c r="B926" t="s">
        <v>14</v>
      </c>
      <c r="C926" t="s">
        <v>15</v>
      </c>
      <c r="D926">
        <v>47480.71</v>
      </c>
      <c r="E926">
        <v>5</v>
      </c>
      <c r="F926">
        <v>237403.55</v>
      </c>
      <c r="G926" s="1">
        <v>45544</v>
      </c>
      <c r="H926" t="s">
        <v>16</v>
      </c>
      <c r="I926">
        <v>3.1</v>
      </c>
    </row>
    <row r="927" spans="1:9" x14ac:dyDescent="0.3">
      <c r="A927" t="s">
        <v>970</v>
      </c>
      <c r="B927" t="s">
        <v>120</v>
      </c>
      <c r="C927" t="s">
        <v>25</v>
      </c>
      <c r="D927">
        <v>8058.4</v>
      </c>
      <c r="E927">
        <v>3</v>
      </c>
      <c r="F927">
        <v>24175.200000000001</v>
      </c>
      <c r="G927" s="1">
        <v>45624</v>
      </c>
      <c r="H927" t="s">
        <v>56</v>
      </c>
      <c r="I927">
        <v>2.9</v>
      </c>
    </row>
    <row r="928" spans="1:9" x14ac:dyDescent="0.3">
      <c r="A928" t="s">
        <v>971</v>
      </c>
      <c r="B928" t="s">
        <v>75</v>
      </c>
      <c r="C928" t="s">
        <v>19</v>
      </c>
      <c r="D928">
        <v>32369.52</v>
      </c>
      <c r="E928">
        <v>2</v>
      </c>
      <c r="F928">
        <v>64739.040000000001</v>
      </c>
      <c r="G928" s="1">
        <v>45684</v>
      </c>
      <c r="H928" t="s">
        <v>12</v>
      </c>
      <c r="I928">
        <v>2.7</v>
      </c>
    </row>
    <row r="929" spans="1:9" x14ac:dyDescent="0.3">
      <c r="A929" t="s">
        <v>972</v>
      </c>
      <c r="B929" t="s">
        <v>14</v>
      </c>
      <c r="C929" t="s">
        <v>15</v>
      </c>
      <c r="D929">
        <v>29604.77</v>
      </c>
      <c r="E929">
        <v>4</v>
      </c>
      <c r="F929">
        <v>118419.08</v>
      </c>
      <c r="G929" s="1">
        <v>45418</v>
      </c>
      <c r="H929" t="s">
        <v>28</v>
      </c>
      <c r="I929">
        <v>3.7</v>
      </c>
    </row>
    <row r="930" spans="1:9" x14ac:dyDescent="0.3">
      <c r="A930" t="s">
        <v>973</v>
      </c>
      <c r="B930" t="s">
        <v>34</v>
      </c>
      <c r="C930" t="s">
        <v>15</v>
      </c>
      <c r="D930">
        <v>19927.72</v>
      </c>
      <c r="E930">
        <v>2</v>
      </c>
      <c r="F930">
        <v>39855.440000000002</v>
      </c>
      <c r="G930" s="1">
        <v>45450</v>
      </c>
      <c r="H930" t="s">
        <v>47</v>
      </c>
      <c r="I930">
        <v>3.7</v>
      </c>
    </row>
    <row r="931" spans="1:9" x14ac:dyDescent="0.3">
      <c r="A931" t="s">
        <v>974</v>
      </c>
      <c r="B931" t="s">
        <v>46</v>
      </c>
      <c r="C931" t="s">
        <v>11</v>
      </c>
      <c r="D931">
        <v>42170.48</v>
      </c>
      <c r="E931">
        <v>1</v>
      </c>
      <c r="F931">
        <v>42170.48</v>
      </c>
      <c r="G931" s="1">
        <v>45594</v>
      </c>
      <c r="H931" t="s">
        <v>16</v>
      </c>
      <c r="I931">
        <v>4.4000000000000004</v>
      </c>
    </row>
    <row r="932" spans="1:9" x14ac:dyDescent="0.3">
      <c r="A932" t="s">
        <v>975</v>
      </c>
      <c r="B932" t="s">
        <v>151</v>
      </c>
      <c r="C932" t="s">
        <v>15</v>
      </c>
      <c r="D932">
        <v>15950.41</v>
      </c>
      <c r="E932">
        <v>5</v>
      </c>
      <c r="F932">
        <v>79752.05</v>
      </c>
      <c r="G932" s="1">
        <v>45632</v>
      </c>
      <c r="H932" t="s">
        <v>42</v>
      </c>
      <c r="I932">
        <v>1.5</v>
      </c>
    </row>
    <row r="933" spans="1:9" x14ac:dyDescent="0.3">
      <c r="A933" t="s">
        <v>976</v>
      </c>
      <c r="B933" t="s">
        <v>93</v>
      </c>
      <c r="C933" t="s">
        <v>11</v>
      </c>
      <c r="D933">
        <v>791.45</v>
      </c>
      <c r="E933">
        <v>4</v>
      </c>
      <c r="F933">
        <v>3165.8</v>
      </c>
      <c r="G933" s="1">
        <v>45372</v>
      </c>
      <c r="H933" t="s">
        <v>47</v>
      </c>
      <c r="I933">
        <v>1.2</v>
      </c>
    </row>
    <row r="934" spans="1:9" x14ac:dyDescent="0.3">
      <c r="A934" t="s">
        <v>977</v>
      </c>
      <c r="B934" t="s">
        <v>14</v>
      </c>
      <c r="C934" t="s">
        <v>15</v>
      </c>
      <c r="D934">
        <v>28534.99</v>
      </c>
      <c r="E934">
        <v>3</v>
      </c>
      <c r="F934">
        <v>85604.97</v>
      </c>
      <c r="G934" s="1">
        <v>45519</v>
      </c>
      <c r="H934" t="s">
        <v>56</v>
      </c>
      <c r="I934">
        <v>1.8</v>
      </c>
    </row>
    <row r="935" spans="1:9" x14ac:dyDescent="0.3">
      <c r="A935" t="s">
        <v>978</v>
      </c>
      <c r="B935" t="s">
        <v>27</v>
      </c>
      <c r="C935" t="s">
        <v>25</v>
      </c>
      <c r="D935">
        <v>13371.43</v>
      </c>
      <c r="E935">
        <v>4</v>
      </c>
      <c r="F935">
        <v>53485.72</v>
      </c>
      <c r="G935" s="1">
        <v>45449</v>
      </c>
      <c r="H935" t="s">
        <v>56</v>
      </c>
      <c r="I935">
        <v>1.2</v>
      </c>
    </row>
    <row r="936" spans="1:9" x14ac:dyDescent="0.3">
      <c r="A936" t="s">
        <v>979</v>
      </c>
      <c r="B936" t="s">
        <v>71</v>
      </c>
      <c r="C936" t="s">
        <v>22</v>
      </c>
      <c r="D936">
        <v>48073.8</v>
      </c>
      <c r="E936">
        <v>4</v>
      </c>
      <c r="F936">
        <v>192295.2</v>
      </c>
      <c r="G936" s="1">
        <v>45568</v>
      </c>
      <c r="H936" t="s">
        <v>47</v>
      </c>
      <c r="I936">
        <v>4.0999999999999996</v>
      </c>
    </row>
    <row r="937" spans="1:9" x14ac:dyDescent="0.3">
      <c r="A937" t="s">
        <v>980</v>
      </c>
      <c r="B937" t="s">
        <v>93</v>
      </c>
      <c r="C937" t="s">
        <v>11</v>
      </c>
      <c r="D937">
        <v>15240.16</v>
      </c>
      <c r="E937">
        <v>5</v>
      </c>
      <c r="F937">
        <v>76200.800000000003</v>
      </c>
      <c r="G937" s="1">
        <v>45457</v>
      </c>
      <c r="H937" t="s">
        <v>56</v>
      </c>
      <c r="I937">
        <v>3.6</v>
      </c>
    </row>
    <row r="938" spans="1:9" x14ac:dyDescent="0.3">
      <c r="A938" t="s">
        <v>981</v>
      </c>
      <c r="B938" t="s">
        <v>46</v>
      </c>
      <c r="C938" t="s">
        <v>11</v>
      </c>
      <c r="D938">
        <v>11216.38</v>
      </c>
      <c r="E938">
        <v>5</v>
      </c>
      <c r="F938">
        <v>56081.9</v>
      </c>
      <c r="G938" s="1">
        <v>45362</v>
      </c>
      <c r="H938" t="s">
        <v>42</v>
      </c>
      <c r="I938">
        <v>2.8</v>
      </c>
    </row>
    <row r="939" spans="1:9" x14ac:dyDescent="0.3">
      <c r="A939" t="s">
        <v>982</v>
      </c>
      <c r="B939" t="s">
        <v>93</v>
      </c>
      <c r="C939" t="s">
        <v>11</v>
      </c>
      <c r="D939">
        <v>540.63</v>
      </c>
      <c r="E939">
        <v>3</v>
      </c>
      <c r="F939">
        <v>1621.89</v>
      </c>
      <c r="G939" s="1">
        <v>45394</v>
      </c>
      <c r="H939" t="s">
        <v>42</v>
      </c>
      <c r="I939">
        <v>3.5</v>
      </c>
    </row>
    <row r="940" spans="1:9" x14ac:dyDescent="0.3">
      <c r="A940" t="s">
        <v>983</v>
      </c>
      <c r="B940" t="s">
        <v>21</v>
      </c>
      <c r="C940" t="s">
        <v>22</v>
      </c>
      <c r="D940">
        <v>19845.72</v>
      </c>
      <c r="E940">
        <v>3</v>
      </c>
      <c r="F940">
        <v>59537.16</v>
      </c>
      <c r="G940" s="1">
        <v>45420</v>
      </c>
      <c r="H940" t="s">
        <v>42</v>
      </c>
      <c r="I940">
        <v>4</v>
      </c>
    </row>
    <row r="941" spans="1:9" x14ac:dyDescent="0.3">
      <c r="A941" t="s">
        <v>984</v>
      </c>
      <c r="B941" t="s">
        <v>34</v>
      </c>
      <c r="C941" t="s">
        <v>15</v>
      </c>
      <c r="D941">
        <v>31486.57</v>
      </c>
      <c r="E941">
        <v>1</v>
      </c>
      <c r="F941">
        <v>31486.57</v>
      </c>
      <c r="G941" s="1">
        <v>45520</v>
      </c>
      <c r="H941" t="s">
        <v>28</v>
      </c>
      <c r="I941">
        <v>3</v>
      </c>
    </row>
    <row r="942" spans="1:9" x14ac:dyDescent="0.3">
      <c r="A942" t="s">
        <v>985</v>
      </c>
      <c r="B942" t="s">
        <v>21</v>
      </c>
      <c r="C942" t="s">
        <v>22</v>
      </c>
      <c r="D942">
        <v>47899.72</v>
      </c>
      <c r="E942">
        <v>2</v>
      </c>
      <c r="F942">
        <v>95799.44</v>
      </c>
      <c r="G942" s="1">
        <v>45483</v>
      </c>
      <c r="H942" t="s">
        <v>42</v>
      </c>
      <c r="I942">
        <v>4</v>
      </c>
    </row>
    <row r="943" spans="1:9" x14ac:dyDescent="0.3">
      <c r="A943" t="s">
        <v>986</v>
      </c>
      <c r="B943" t="s">
        <v>10</v>
      </c>
      <c r="C943" t="s">
        <v>11</v>
      </c>
      <c r="D943">
        <v>39842.15</v>
      </c>
      <c r="E943">
        <v>5</v>
      </c>
      <c r="F943">
        <v>199210.75</v>
      </c>
      <c r="G943" s="1">
        <v>45674</v>
      </c>
      <c r="H943" t="s">
        <v>12</v>
      </c>
      <c r="I943">
        <v>4.8</v>
      </c>
    </row>
    <row r="944" spans="1:9" x14ac:dyDescent="0.3">
      <c r="A944" t="s">
        <v>987</v>
      </c>
      <c r="B944" t="s">
        <v>30</v>
      </c>
      <c r="C944" t="s">
        <v>15</v>
      </c>
      <c r="D944">
        <v>46101.14</v>
      </c>
      <c r="E944">
        <v>2</v>
      </c>
      <c r="F944">
        <v>92202.28</v>
      </c>
      <c r="G944" s="1">
        <v>45352</v>
      </c>
      <c r="H944" t="s">
        <v>56</v>
      </c>
      <c r="I944">
        <v>4</v>
      </c>
    </row>
    <row r="945" spans="1:9" x14ac:dyDescent="0.3">
      <c r="A945" t="s">
        <v>988</v>
      </c>
      <c r="B945" t="s">
        <v>93</v>
      </c>
      <c r="C945" t="s">
        <v>11</v>
      </c>
      <c r="D945">
        <v>46563.35</v>
      </c>
      <c r="E945">
        <v>5</v>
      </c>
      <c r="F945">
        <v>232816.75</v>
      </c>
      <c r="G945" s="1">
        <v>45420</v>
      </c>
      <c r="H945" t="s">
        <v>12</v>
      </c>
      <c r="I945">
        <v>1.2</v>
      </c>
    </row>
    <row r="946" spans="1:9" x14ac:dyDescent="0.3">
      <c r="A946" t="s">
        <v>989</v>
      </c>
      <c r="B946" t="s">
        <v>36</v>
      </c>
      <c r="C946" t="s">
        <v>22</v>
      </c>
      <c r="D946">
        <v>35922.639999999999</v>
      </c>
      <c r="E946">
        <v>4</v>
      </c>
      <c r="F946">
        <v>143690.56</v>
      </c>
      <c r="G946" s="1">
        <v>45339</v>
      </c>
      <c r="H946" t="s">
        <v>16</v>
      </c>
      <c r="I946">
        <v>3.1</v>
      </c>
    </row>
    <row r="947" spans="1:9" x14ac:dyDescent="0.3">
      <c r="A947" t="s">
        <v>990</v>
      </c>
      <c r="B947" t="s">
        <v>71</v>
      </c>
      <c r="C947" t="s">
        <v>22</v>
      </c>
      <c r="D947">
        <v>33745.33</v>
      </c>
      <c r="E947">
        <v>1</v>
      </c>
      <c r="F947">
        <v>33745.33</v>
      </c>
      <c r="G947" s="1">
        <v>45670</v>
      </c>
      <c r="H947" t="s">
        <v>42</v>
      </c>
      <c r="I947">
        <v>2.7</v>
      </c>
    </row>
    <row r="948" spans="1:9" x14ac:dyDescent="0.3">
      <c r="A948" t="s">
        <v>991</v>
      </c>
      <c r="B948" t="s">
        <v>151</v>
      </c>
      <c r="C948" t="s">
        <v>15</v>
      </c>
      <c r="D948">
        <v>22870.53</v>
      </c>
      <c r="E948">
        <v>5</v>
      </c>
      <c r="F948">
        <v>114352.65</v>
      </c>
      <c r="G948" s="1">
        <v>45463</v>
      </c>
      <c r="H948" t="s">
        <v>42</v>
      </c>
      <c r="I948">
        <v>1.4</v>
      </c>
    </row>
    <row r="949" spans="1:9" x14ac:dyDescent="0.3">
      <c r="A949" t="s">
        <v>992</v>
      </c>
      <c r="B949" t="s">
        <v>120</v>
      </c>
      <c r="C949" t="s">
        <v>25</v>
      </c>
      <c r="D949">
        <v>29715.31</v>
      </c>
      <c r="E949">
        <v>2</v>
      </c>
      <c r="F949">
        <v>59430.62</v>
      </c>
      <c r="G949" s="1">
        <v>45394</v>
      </c>
      <c r="H949" t="s">
        <v>42</v>
      </c>
      <c r="I949">
        <v>3.5</v>
      </c>
    </row>
    <row r="950" spans="1:9" x14ac:dyDescent="0.3">
      <c r="A950" t="s">
        <v>993</v>
      </c>
      <c r="B950" t="s">
        <v>14</v>
      </c>
      <c r="C950" t="s">
        <v>15</v>
      </c>
      <c r="D950">
        <v>15543.65</v>
      </c>
      <c r="E950">
        <v>4</v>
      </c>
      <c r="F950">
        <v>62174.6</v>
      </c>
      <c r="G950" s="1">
        <v>45443</v>
      </c>
      <c r="H950" t="s">
        <v>47</v>
      </c>
      <c r="I950">
        <v>2.7</v>
      </c>
    </row>
    <row r="951" spans="1:9" x14ac:dyDescent="0.3">
      <c r="A951" t="s">
        <v>994</v>
      </c>
      <c r="B951" t="s">
        <v>44</v>
      </c>
      <c r="C951" t="s">
        <v>22</v>
      </c>
      <c r="D951">
        <v>8234.32</v>
      </c>
      <c r="E951">
        <v>2</v>
      </c>
      <c r="F951">
        <v>16468.64</v>
      </c>
      <c r="G951" s="1">
        <v>45445</v>
      </c>
      <c r="H951" t="s">
        <v>12</v>
      </c>
      <c r="I951">
        <v>1.9</v>
      </c>
    </row>
    <row r="952" spans="1:9" x14ac:dyDescent="0.3">
      <c r="A952" t="s">
        <v>995</v>
      </c>
      <c r="B952" t="s">
        <v>54</v>
      </c>
      <c r="C952" t="s">
        <v>15</v>
      </c>
      <c r="D952">
        <v>959.63</v>
      </c>
      <c r="E952">
        <v>1</v>
      </c>
      <c r="F952">
        <v>959.63</v>
      </c>
      <c r="G952" s="1">
        <v>45617</v>
      </c>
      <c r="H952" t="s">
        <v>28</v>
      </c>
      <c r="I952">
        <v>1.6</v>
      </c>
    </row>
    <row r="953" spans="1:9" x14ac:dyDescent="0.3">
      <c r="A953" t="s">
        <v>996</v>
      </c>
      <c r="B953" t="s">
        <v>18</v>
      </c>
      <c r="C953" t="s">
        <v>19</v>
      </c>
      <c r="D953">
        <v>34969.69</v>
      </c>
      <c r="E953">
        <v>5</v>
      </c>
      <c r="F953">
        <v>174848.45</v>
      </c>
      <c r="G953" s="1">
        <v>45381</v>
      </c>
      <c r="H953" t="s">
        <v>56</v>
      </c>
      <c r="I953">
        <v>4</v>
      </c>
    </row>
    <row r="954" spans="1:9" x14ac:dyDescent="0.3">
      <c r="A954" t="s">
        <v>997</v>
      </c>
      <c r="B954" t="s">
        <v>82</v>
      </c>
      <c r="C954" t="s">
        <v>22</v>
      </c>
      <c r="D954">
        <v>46553.58</v>
      </c>
      <c r="E954">
        <v>3</v>
      </c>
      <c r="F954">
        <v>139660.74</v>
      </c>
      <c r="G954" s="1">
        <v>45661</v>
      </c>
      <c r="H954" t="s">
        <v>42</v>
      </c>
      <c r="I954">
        <v>2.2999999999999998</v>
      </c>
    </row>
    <row r="955" spans="1:9" x14ac:dyDescent="0.3">
      <c r="A955" t="s">
        <v>998</v>
      </c>
      <c r="B955" t="s">
        <v>18</v>
      </c>
      <c r="C955" t="s">
        <v>19</v>
      </c>
      <c r="D955">
        <v>33472.93</v>
      </c>
      <c r="E955">
        <v>1</v>
      </c>
      <c r="F955">
        <v>33472.93</v>
      </c>
      <c r="G955" s="1">
        <v>45441</v>
      </c>
      <c r="H955" t="s">
        <v>47</v>
      </c>
      <c r="I955">
        <v>3.4</v>
      </c>
    </row>
    <row r="956" spans="1:9" x14ac:dyDescent="0.3">
      <c r="A956" t="s">
        <v>999</v>
      </c>
      <c r="B956" t="s">
        <v>44</v>
      </c>
      <c r="C956" t="s">
        <v>22</v>
      </c>
      <c r="D956">
        <v>29781.11</v>
      </c>
      <c r="E956">
        <v>2</v>
      </c>
      <c r="F956">
        <v>59562.22</v>
      </c>
      <c r="G956" s="1">
        <v>45359</v>
      </c>
      <c r="H956" t="s">
        <v>12</v>
      </c>
      <c r="I956">
        <v>3.6</v>
      </c>
    </row>
    <row r="957" spans="1:9" x14ac:dyDescent="0.3">
      <c r="A957" t="s">
        <v>1000</v>
      </c>
      <c r="B957" t="s">
        <v>24</v>
      </c>
      <c r="C957" t="s">
        <v>25</v>
      </c>
      <c r="D957">
        <v>30564.98</v>
      </c>
      <c r="E957">
        <v>3</v>
      </c>
      <c r="F957">
        <v>91694.94</v>
      </c>
      <c r="G957" s="1">
        <v>45487</v>
      </c>
      <c r="H957" t="s">
        <v>12</v>
      </c>
      <c r="I957">
        <v>3.8</v>
      </c>
    </row>
    <row r="958" spans="1:9" x14ac:dyDescent="0.3">
      <c r="A958" t="s">
        <v>1001</v>
      </c>
      <c r="B958" t="s">
        <v>30</v>
      </c>
      <c r="C958" t="s">
        <v>15</v>
      </c>
      <c r="D958">
        <v>42407.519999999997</v>
      </c>
      <c r="E958">
        <v>2</v>
      </c>
      <c r="F958">
        <v>84815.039999999994</v>
      </c>
      <c r="G958" s="1">
        <v>45438</v>
      </c>
      <c r="H958" t="s">
        <v>12</v>
      </c>
      <c r="I958">
        <v>4.7</v>
      </c>
    </row>
    <row r="959" spans="1:9" x14ac:dyDescent="0.3">
      <c r="A959" t="s">
        <v>1002</v>
      </c>
      <c r="B959" t="s">
        <v>93</v>
      </c>
      <c r="C959" t="s">
        <v>11</v>
      </c>
      <c r="D959">
        <v>10435.030000000001</v>
      </c>
      <c r="E959">
        <v>1</v>
      </c>
      <c r="F959">
        <v>10435.030000000001</v>
      </c>
      <c r="G959" s="1">
        <v>45558</v>
      </c>
      <c r="H959" t="s">
        <v>12</v>
      </c>
      <c r="I959">
        <v>3.1</v>
      </c>
    </row>
    <row r="960" spans="1:9" x14ac:dyDescent="0.3">
      <c r="A960" t="s">
        <v>1003</v>
      </c>
      <c r="B960" t="s">
        <v>82</v>
      </c>
      <c r="C960" t="s">
        <v>22</v>
      </c>
      <c r="D960">
        <v>35278.46</v>
      </c>
      <c r="E960">
        <v>3</v>
      </c>
      <c r="F960">
        <v>105835.38</v>
      </c>
      <c r="G960" s="1">
        <v>45531</v>
      </c>
      <c r="H960" t="s">
        <v>42</v>
      </c>
      <c r="I960">
        <v>1.2</v>
      </c>
    </row>
    <row r="961" spans="1:9" x14ac:dyDescent="0.3">
      <c r="A961" t="s">
        <v>1004</v>
      </c>
      <c r="B961" t="s">
        <v>44</v>
      </c>
      <c r="C961" t="s">
        <v>22</v>
      </c>
      <c r="D961">
        <v>34844.54</v>
      </c>
      <c r="E961">
        <v>3</v>
      </c>
      <c r="F961">
        <v>104533.62</v>
      </c>
      <c r="G961" s="1">
        <v>45561</v>
      </c>
      <c r="H961" t="s">
        <v>47</v>
      </c>
      <c r="I961">
        <v>4.8</v>
      </c>
    </row>
    <row r="962" spans="1:9" x14ac:dyDescent="0.3">
      <c r="A962" t="s">
        <v>1005</v>
      </c>
      <c r="B962" t="s">
        <v>46</v>
      </c>
      <c r="C962" t="s">
        <v>11</v>
      </c>
      <c r="D962">
        <v>31159.759999999998</v>
      </c>
      <c r="E962">
        <v>5</v>
      </c>
      <c r="F962">
        <v>155798.79999999999</v>
      </c>
      <c r="G962" s="1">
        <v>45682</v>
      </c>
      <c r="H962" t="s">
        <v>28</v>
      </c>
      <c r="I962">
        <v>1.1000000000000001</v>
      </c>
    </row>
    <row r="963" spans="1:9" x14ac:dyDescent="0.3">
      <c r="A963" t="s">
        <v>1006</v>
      </c>
      <c r="B963" t="s">
        <v>151</v>
      </c>
      <c r="C963" t="s">
        <v>15</v>
      </c>
      <c r="D963">
        <v>27369.17</v>
      </c>
      <c r="E963">
        <v>4</v>
      </c>
      <c r="F963">
        <v>109476.68</v>
      </c>
      <c r="G963" s="1">
        <v>45546</v>
      </c>
      <c r="H963" t="s">
        <v>16</v>
      </c>
      <c r="I963">
        <v>3.5</v>
      </c>
    </row>
    <row r="964" spans="1:9" x14ac:dyDescent="0.3">
      <c r="A964" t="s">
        <v>1007</v>
      </c>
      <c r="B964" t="s">
        <v>40</v>
      </c>
      <c r="C964" t="s">
        <v>19</v>
      </c>
      <c r="D964">
        <v>47055.28</v>
      </c>
      <c r="E964">
        <v>1</v>
      </c>
      <c r="F964">
        <v>47055.28</v>
      </c>
      <c r="G964" s="1">
        <v>45459</v>
      </c>
      <c r="H964" t="s">
        <v>47</v>
      </c>
      <c r="I964">
        <v>3</v>
      </c>
    </row>
    <row r="965" spans="1:9" x14ac:dyDescent="0.3">
      <c r="A965" t="s">
        <v>1008</v>
      </c>
      <c r="B965" t="s">
        <v>71</v>
      </c>
      <c r="C965" t="s">
        <v>22</v>
      </c>
      <c r="D965">
        <v>30706.15</v>
      </c>
      <c r="E965">
        <v>4</v>
      </c>
      <c r="F965">
        <v>122824.6</v>
      </c>
      <c r="G965" s="1">
        <v>45510</v>
      </c>
      <c r="H965" t="s">
        <v>16</v>
      </c>
      <c r="I965">
        <v>2.9</v>
      </c>
    </row>
    <row r="966" spans="1:9" x14ac:dyDescent="0.3">
      <c r="A966" t="s">
        <v>1009</v>
      </c>
      <c r="B966" t="s">
        <v>69</v>
      </c>
      <c r="C966" t="s">
        <v>19</v>
      </c>
      <c r="D966">
        <v>659.73</v>
      </c>
      <c r="E966">
        <v>4</v>
      </c>
      <c r="F966">
        <v>2638.92</v>
      </c>
      <c r="G966" s="1">
        <v>45634</v>
      </c>
      <c r="H966" t="s">
        <v>16</v>
      </c>
      <c r="I966">
        <v>3.5</v>
      </c>
    </row>
    <row r="967" spans="1:9" x14ac:dyDescent="0.3">
      <c r="A967" t="s">
        <v>1010</v>
      </c>
      <c r="B967" t="s">
        <v>38</v>
      </c>
      <c r="C967" t="s">
        <v>19</v>
      </c>
      <c r="D967">
        <v>14341.13</v>
      </c>
      <c r="E967">
        <v>4</v>
      </c>
      <c r="F967">
        <v>57364.52</v>
      </c>
      <c r="G967" s="1">
        <v>45471</v>
      </c>
      <c r="H967" t="s">
        <v>47</v>
      </c>
      <c r="I967">
        <v>1.5</v>
      </c>
    </row>
    <row r="968" spans="1:9" x14ac:dyDescent="0.3">
      <c r="A968" t="s">
        <v>1011</v>
      </c>
      <c r="B968" t="s">
        <v>10</v>
      </c>
      <c r="C968" t="s">
        <v>11</v>
      </c>
      <c r="D968">
        <v>22923.93</v>
      </c>
      <c r="E968">
        <v>4</v>
      </c>
      <c r="F968">
        <v>91695.72</v>
      </c>
      <c r="G968" s="1">
        <v>45636</v>
      </c>
      <c r="H968" t="s">
        <v>42</v>
      </c>
      <c r="I968">
        <v>2.7</v>
      </c>
    </row>
    <row r="969" spans="1:9" x14ac:dyDescent="0.3">
      <c r="A969" t="s">
        <v>1012</v>
      </c>
      <c r="B969" t="s">
        <v>32</v>
      </c>
      <c r="C969" t="s">
        <v>25</v>
      </c>
      <c r="D969">
        <v>20766.47</v>
      </c>
      <c r="E969">
        <v>2</v>
      </c>
      <c r="F969">
        <v>41532.94</v>
      </c>
      <c r="G969" s="1">
        <v>45405</v>
      </c>
      <c r="H969" t="s">
        <v>42</v>
      </c>
      <c r="I969">
        <v>1.8</v>
      </c>
    </row>
    <row r="970" spans="1:9" x14ac:dyDescent="0.3">
      <c r="A970" t="s">
        <v>1013</v>
      </c>
      <c r="B970" t="s">
        <v>71</v>
      </c>
      <c r="C970" t="s">
        <v>22</v>
      </c>
      <c r="D970">
        <v>36615.730000000003</v>
      </c>
      <c r="E970">
        <v>5</v>
      </c>
      <c r="F970">
        <v>183078.65</v>
      </c>
      <c r="G970" s="1">
        <v>45392</v>
      </c>
      <c r="H970" t="s">
        <v>56</v>
      </c>
      <c r="I970">
        <v>2</v>
      </c>
    </row>
    <row r="971" spans="1:9" x14ac:dyDescent="0.3">
      <c r="A971" t="s">
        <v>1014</v>
      </c>
      <c r="B971" t="s">
        <v>54</v>
      </c>
      <c r="C971" t="s">
        <v>15</v>
      </c>
      <c r="D971">
        <v>879.25</v>
      </c>
      <c r="E971">
        <v>4</v>
      </c>
      <c r="F971">
        <v>3517</v>
      </c>
      <c r="G971" s="1">
        <v>45542</v>
      </c>
      <c r="H971" t="s">
        <v>28</v>
      </c>
      <c r="I971">
        <v>4.9000000000000004</v>
      </c>
    </row>
    <row r="972" spans="1:9" x14ac:dyDescent="0.3">
      <c r="A972" t="s">
        <v>1015</v>
      </c>
      <c r="B972" t="s">
        <v>60</v>
      </c>
      <c r="C972" t="s">
        <v>25</v>
      </c>
      <c r="D972">
        <v>8571.5499999999993</v>
      </c>
      <c r="E972">
        <v>4</v>
      </c>
      <c r="F972">
        <v>34286.199999999997</v>
      </c>
      <c r="G972" s="1">
        <v>45669</v>
      </c>
      <c r="H972" t="s">
        <v>28</v>
      </c>
      <c r="I972">
        <v>3.9</v>
      </c>
    </row>
    <row r="973" spans="1:9" x14ac:dyDescent="0.3">
      <c r="A973" t="s">
        <v>1016</v>
      </c>
      <c r="B973" t="s">
        <v>82</v>
      </c>
      <c r="C973" t="s">
        <v>22</v>
      </c>
      <c r="D973">
        <v>23125.33</v>
      </c>
      <c r="E973">
        <v>5</v>
      </c>
      <c r="F973">
        <v>115626.65</v>
      </c>
      <c r="G973" s="1">
        <v>45676</v>
      </c>
      <c r="H973" t="s">
        <v>12</v>
      </c>
      <c r="I973">
        <v>3.7</v>
      </c>
    </row>
    <row r="974" spans="1:9" x14ac:dyDescent="0.3">
      <c r="A974" t="s">
        <v>1017</v>
      </c>
      <c r="B974" t="s">
        <v>10</v>
      </c>
      <c r="C974" t="s">
        <v>11</v>
      </c>
      <c r="D974">
        <v>5712.21</v>
      </c>
      <c r="E974">
        <v>3</v>
      </c>
      <c r="F974">
        <v>17136.63</v>
      </c>
      <c r="G974" s="1">
        <v>45546</v>
      </c>
      <c r="H974" t="s">
        <v>16</v>
      </c>
      <c r="I974">
        <v>3.6</v>
      </c>
    </row>
    <row r="975" spans="1:9" x14ac:dyDescent="0.3">
      <c r="A975" t="s">
        <v>1018</v>
      </c>
      <c r="B975" t="s">
        <v>54</v>
      </c>
      <c r="C975" t="s">
        <v>15</v>
      </c>
      <c r="D975">
        <v>1434.23</v>
      </c>
      <c r="E975">
        <v>2</v>
      </c>
      <c r="F975">
        <v>2868.46</v>
      </c>
      <c r="G975" s="1">
        <v>45375</v>
      </c>
      <c r="H975" t="s">
        <v>16</v>
      </c>
      <c r="I975">
        <v>3.5</v>
      </c>
    </row>
    <row r="976" spans="1:9" x14ac:dyDescent="0.3">
      <c r="A976" t="s">
        <v>1019</v>
      </c>
      <c r="B976" t="s">
        <v>93</v>
      </c>
      <c r="C976" t="s">
        <v>11</v>
      </c>
      <c r="D976">
        <v>43163.16</v>
      </c>
      <c r="E976">
        <v>2</v>
      </c>
      <c r="F976">
        <v>86326.32</v>
      </c>
      <c r="G976" s="1">
        <v>45635</v>
      </c>
      <c r="H976" t="s">
        <v>12</v>
      </c>
      <c r="I976">
        <v>1.9</v>
      </c>
    </row>
    <row r="977" spans="1:9" x14ac:dyDescent="0.3">
      <c r="A977" t="s">
        <v>1020</v>
      </c>
      <c r="B977" t="s">
        <v>120</v>
      </c>
      <c r="C977" t="s">
        <v>25</v>
      </c>
      <c r="D977">
        <v>38545.29</v>
      </c>
      <c r="E977">
        <v>1</v>
      </c>
      <c r="F977">
        <v>38545.29</v>
      </c>
      <c r="G977" s="1">
        <v>45541</v>
      </c>
      <c r="H977" t="s">
        <v>28</v>
      </c>
      <c r="I977">
        <v>1.3</v>
      </c>
    </row>
    <row r="978" spans="1:9" x14ac:dyDescent="0.3">
      <c r="A978" t="s">
        <v>1021</v>
      </c>
      <c r="B978" t="s">
        <v>40</v>
      </c>
      <c r="C978" t="s">
        <v>19</v>
      </c>
      <c r="D978">
        <v>8188.18</v>
      </c>
      <c r="E978">
        <v>2</v>
      </c>
      <c r="F978">
        <v>16376.36</v>
      </c>
      <c r="G978" s="1">
        <v>45519</v>
      </c>
      <c r="H978" t="s">
        <v>28</v>
      </c>
      <c r="I978">
        <v>1.3</v>
      </c>
    </row>
    <row r="979" spans="1:9" x14ac:dyDescent="0.3">
      <c r="A979" t="s">
        <v>1022</v>
      </c>
      <c r="B979" t="s">
        <v>32</v>
      </c>
      <c r="C979" t="s">
        <v>25</v>
      </c>
      <c r="D979">
        <v>35763.480000000003</v>
      </c>
      <c r="E979">
        <v>4</v>
      </c>
      <c r="F979">
        <v>143053.92000000001</v>
      </c>
      <c r="G979" s="1">
        <v>45653</v>
      </c>
      <c r="H979" t="s">
        <v>16</v>
      </c>
      <c r="I979">
        <v>3.7</v>
      </c>
    </row>
    <row r="980" spans="1:9" x14ac:dyDescent="0.3">
      <c r="A980" t="s">
        <v>1023</v>
      </c>
      <c r="B980" t="s">
        <v>24</v>
      </c>
      <c r="C980" t="s">
        <v>25</v>
      </c>
      <c r="D980">
        <v>10818.91</v>
      </c>
      <c r="E980">
        <v>2</v>
      </c>
      <c r="F980">
        <v>21637.82</v>
      </c>
      <c r="G980" s="1">
        <v>45505</v>
      </c>
      <c r="H980" t="s">
        <v>28</v>
      </c>
      <c r="I980">
        <v>1.8</v>
      </c>
    </row>
    <row r="981" spans="1:9" x14ac:dyDescent="0.3">
      <c r="A981" t="s">
        <v>1024</v>
      </c>
      <c r="B981" t="s">
        <v>38</v>
      </c>
      <c r="C981" t="s">
        <v>19</v>
      </c>
      <c r="D981">
        <v>35506.410000000003</v>
      </c>
      <c r="E981">
        <v>5</v>
      </c>
      <c r="F981">
        <v>177532.05</v>
      </c>
      <c r="G981" s="1">
        <v>45350</v>
      </c>
      <c r="H981" t="s">
        <v>28</v>
      </c>
      <c r="I981">
        <v>1.2</v>
      </c>
    </row>
    <row r="982" spans="1:9" x14ac:dyDescent="0.3">
      <c r="A982" t="s">
        <v>1025</v>
      </c>
      <c r="B982" t="s">
        <v>36</v>
      </c>
      <c r="C982" t="s">
        <v>22</v>
      </c>
      <c r="D982">
        <v>19010.38</v>
      </c>
      <c r="E982">
        <v>5</v>
      </c>
      <c r="F982">
        <v>95051.9</v>
      </c>
      <c r="G982" s="1">
        <v>45501</v>
      </c>
      <c r="H982" t="s">
        <v>28</v>
      </c>
      <c r="I982">
        <v>1.5</v>
      </c>
    </row>
    <row r="983" spans="1:9" x14ac:dyDescent="0.3">
      <c r="A983" t="s">
        <v>1026</v>
      </c>
      <c r="B983" t="s">
        <v>93</v>
      </c>
      <c r="C983" t="s">
        <v>11</v>
      </c>
      <c r="D983">
        <v>29678.85</v>
      </c>
      <c r="E983">
        <v>3</v>
      </c>
      <c r="F983">
        <v>89036.55</v>
      </c>
      <c r="G983" s="1">
        <v>45590</v>
      </c>
      <c r="H983" t="s">
        <v>16</v>
      </c>
      <c r="I983">
        <v>2.9</v>
      </c>
    </row>
    <row r="984" spans="1:9" x14ac:dyDescent="0.3">
      <c r="A984" t="s">
        <v>1027</v>
      </c>
      <c r="B984" t="s">
        <v>46</v>
      </c>
      <c r="C984" t="s">
        <v>11</v>
      </c>
      <c r="D984">
        <v>5412.9</v>
      </c>
      <c r="E984">
        <v>5</v>
      </c>
      <c r="F984">
        <v>27064.5</v>
      </c>
      <c r="G984" s="1">
        <v>45473</v>
      </c>
      <c r="H984" t="s">
        <v>42</v>
      </c>
      <c r="I984">
        <v>2.1</v>
      </c>
    </row>
    <row r="985" spans="1:9" x14ac:dyDescent="0.3">
      <c r="A985" t="s">
        <v>1028</v>
      </c>
      <c r="B985" t="s">
        <v>14</v>
      </c>
      <c r="C985" t="s">
        <v>15</v>
      </c>
      <c r="D985">
        <v>22890.95</v>
      </c>
      <c r="E985">
        <v>3</v>
      </c>
      <c r="F985">
        <v>68672.850000000006</v>
      </c>
      <c r="G985" s="1">
        <v>45626</v>
      </c>
      <c r="H985" t="s">
        <v>47</v>
      </c>
      <c r="I985">
        <v>3</v>
      </c>
    </row>
    <row r="986" spans="1:9" x14ac:dyDescent="0.3">
      <c r="A986" t="s">
        <v>1029</v>
      </c>
      <c r="B986" t="s">
        <v>14</v>
      </c>
      <c r="C986" t="s">
        <v>15</v>
      </c>
      <c r="D986">
        <v>40905.69</v>
      </c>
      <c r="E986">
        <v>5</v>
      </c>
      <c r="F986">
        <v>204528.45</v>
      </c>
      <c r="G986" s="1">
        <v>45684</v>
      </c>
      <c r="H986" t="s">
        <v>42</v>
      </c>
      <c r="I986">
        <v>1.9</v>
      </c>
    </row>
    <row r="987" spans="1:9" x14ac:dyDescent="0.3">
      <c r="A987" t="s">
        <v>1030</v>
      </c>
      <c r="B987" t="s">
        <v>60</v>
      </c>
      <c r="C987" t="s">
        <v>25</v>
      </c>
      <c r="D987">
        <v>17253.669999999998</v>
      </c>
      <c r="E987">
        <v>3</v>
      </c>
      <c r="F987">
        <v>51761.01</v>
      </c>
      <c r="G987" s="1">
        <v>45620</v>
      </c>
      <c r="H987" t="s">
        <v>12</v>
      </c>
      <c r="I987">
        <v>4.5999999999999996</v>
      </c>
    </row>
    <row r="988" spans="1:9" x14ac:dyDescent="0.3">
      <c r="A988" t="s">
        <v>1031</v>
      </c>
      <c r="B988" t="s">
        <v>10</v>
      </c>
      <c r="C988" t="s">
        <v>11</v>
      </c>
      <c r="D988">
        <v>27920.2</v>
      </c>
      <c r="E988">
        <v>5</v>
      </c>
      <c r="F988">
        <v>139601</v>
      </c>
      <c r="G988" s="1">
        <v>45336</v>
      </c>
      <c r="H988" t="s">
        <v>28</v>
      </c>
      <c r="I988">
        <v>2.7</v>
      </c>
    </row>
    <row r="989" spans="1:9" x14ac:dyDescent="0.3">
      <c r="A989" t="s">
        <v>1032</v>
      </c>
      <c r="B989" t="s">
        <v>34</v>
      </c>
      <c r="C989" t="s">
        <v>15</v>
      </c>
      <c r="D989">
        <v>46055.88</v>
      </c>
      <c r="E989">
        <v>5</v>
      </c>
      <c r="F989">
        <v>230279.4</v>
      </c>
      <c r="G989" s="1">
        <v>45632</v>
      </c>
      <c r="H989" t="s">
        <v>42</v>
      </c>
      <c r="I989">
        <v>4.2</v>
      </c>
    </row>
    <row r="990" spans="1:9" x14ac:dyDescent="0.3">
      <c r="A990" t="s">
        <v>1033</v>
      </c>
      <c r="B990" t="s">
        <v>21</v>
      </c>
      <c r="C990" t="s">
        <v>22</v>
      </c>
      <c r="D990">
        <v>49569.3</v>
      </c>
      <c r="E990">
        <v>4</v>
      </c>
      <c r="F990">
        <v>198277.2</v>
      </c>
      <c r="G990" s="1">
        <v>45423</v>
      </c>
      <c r="H990" t="s">
        <v>42</v>
      </c>
      <c r="I990">
        <v>1.2</v>
      </c>
    </row>
    <row r="991" spans="1:9" x14ac:dyDescent="0.3">
      <c r="A991" t="s">
        <v>1034</v>
      </c>
      <c r="B991" t="s">
        <v>10</v>
      </c>
      <c r="C991" t="s">
        <v>11</v>
      </c>
      <c r="D991">
        <v>35948.160000000003</v>
      </c>
      <c r="E991">
        <v>5</v>
      </c>
      <c r="F991">
        <v>179740.79999999999</v>
      </c>
      <c r="G991" s="1">
        <v>45595</v>
      </c>
      <c r="H991" t="s">
        <v>28</v>
      </c>
      <c r="I991">
        <v>2.5</v>
      </c>
    </row>
    <row r="992" spans="1:9" x14ac:dyDescent="0.3">
      <c r="A992" t="s">
        <v>1035</v>
      </c>
      <c r="B992" t="s">
        <v>93</v>
      </c>
      <c r="C992" t="s">
        <v>11</v>
      </c>
      <c r="D992">
        <v>9189.91</v>
      </c>
      <c r="E992">
        <v>5</v>
      </c>
      <c r="F992">
        <v>45949.55</v>
      </c>
      <c r="G992" s="1">
        <v>45501</v>
      </c>
      <c r="H992" t="s">
        <v>28</v>
      </c>
      <c r="I992">
        <v>4.9000000000000004</v>
      </c>
    </row>
    <row r="993" spans="1:9" x14ac:dyDescent="0.3">
      <c r="A993" t="s">
        <v>1036</v>
      </c>
      <c r="B993" t="s">
        <v>27</v>
      </c>
      <c r="C993" t="s">
        <v>25</v>
      </c>
      <c r="D993">
        <v>6075.65</v>
      </c>
      <c r="E993">
        <v>2</v>
      </c>
      <c r="F993">
        <v>12151.3</v>
      </c>
      <c r="G993" s="1">
        <v>45357</v>
      </c>
      <c r="H993" t="s">
        <v>47</v>
      </c>
      <c r="I993">
        <v>2.1</v>
      </c>
    </row>
    <row r="994" spans="1:9" x14ac:dyDescent="0.3">
      <c r="A994" t="s">
        <v>1037</v>
      </c>
      <c r="B994" t="s">
        <v>27</v>
      </c>
      <c r="C994" t="s">
        <v>25</v>
      </c>
      <c r="D994">
        <v>25511.46</v>
      </c>
      <c r="E994">
        <v>2</v>
      </c>
      <c r="F994">
        <v>51022.92</v>
      </c>
      <c r="G994" s="1">
        <v>45623</v>
      </c>
      <c r="H994" t="s">
        <v>56</v>
      </c>
      <c r="I994">
        <v>3.7</v>
      </c>
    </row>
    <row r="995" spans="1:9" x14ac:dyDescent="0.3">
      <c r="A995" t="s">
        <v>1038</v>
      </c>
      <c r="B995" t="s">
        <v>27</v>
      </c>
      <c r="C995" t="s">
        <v>25</v>
      </c>
      <c r="D995">
        <v>5815.52</v>
      </c>
      <c r="E995">
        <v>4</v>
      </c>
      <c r="F995">
        <v>23262.080000000002</v>
      </c>
      <c r="G995" s="1">
        <v>45577</v>
      </c>
      <c r="H995" t="s">
        <v>16</v>
      </c>
      <c r="I995">
        <v>2.2000000000000002</v>
      </c>
    </row>
    <row r="996" spans="1:9" x14ac:dyDescent="0.3">
      <c r="A996" t="s">
        <v>1039</v>
      </c>
      <c r="B996" t="s">
        <v>30</v>
      </c>
      <c r="C996" t="s">
        <v>15</v>
      </c>
      <c r="D996">
        <v>11479.89</v>
      </c>
      <c r="E996">
        <v>3</v>
      </c>
      <c r="F996">
        <v>34439.67</v>
      </c>
      <c r="G996" s="1">
        <v>45503</v>
      </c>
      <c r="H996" t="s">
        <v>56</v>
      </c>
      <c r="I996">
        <v>2.5</v>
      </c>
    </row>
    <row r="997" spans="1:9" x14ac:dyDescent="0.3">
      <c r="A997" t="s">
        <v>1040</v>
      </c>
      <c r="B997" t="s">
        <v>44</v>
      </c>
      <c r="C997" t="s">
        <v>22</v>
      </c>
      <c r="D997">
        <v>28995.81</v>
      </c>
      <c r="E997">
        <v>3</v>
      </c>
      <c r="F997">
        <v>86987.43</v>
      </c>
      <c r="G997" s="1">
        <v>45670</v>
      </c>
      <c r="H997" t="s">
        <v>42</v>
      </c>
      <c r="I997">
        <v>5</v>
      </c>
    </row>
    <row r="998" spans="1:9" x14ac:dyDescent="0.3">
      <c r="A998" t="s">
        <v>1041</v>
      </c>
      <c r="B998" t="s">
        <v>38</v>
      </c>
      <c r="C998" t="s">
        <v>19</v>
      </c>
      <c r="D998">
        <v>32799.51</v>
      </c>
      <c r="E998">
        <v>2</v>
      </c>
      <c r="F998">
        <v>65599.02</v>
      </c>
      <c r="G998" s="1">
        <v>45644</v>
      </c>
      <c r="H998" t="s">
        <v>28</v>
      </c>
      <c r="I998">
        <v>2.4</v>
      </c>
    </row>
    <row r="999" spans="1:9" x14ac:dyDescent="0.3">
      <c r="A999" t="s">
        <v>1042</v>
      </c>
      <c r="B999" t="s">
        <v>18</v>
      </c>
      <c r="C999" t="s">
        <v>19</v>
      </c>
      <c r="D999">
        <v>40840.800000000003</v>
      </c>
      <c r="E999">
        <v>1</v>
      </c>
      <c r="F999">
        <v>40840.800000000003</v>
      </c>
      <c r="G999" s="1">
        <v>45499</v>
      </c>
      <c r="H999" t="s">
        <v>16</v>
      </c>
      <c r="I999">
        <v>3.1</v>
      </c>
    </row>
    <row r="1000" spans="1:9" x14ac:dyDescent="0.3">
      <c r="A1000" t="s">
        <v>1043</v>
      </c>
      <c r="B1000" t="s">
        <v>24</v>
      </c>
      <c r="C1000" t="s">
        <v>25</v>
      </c>
      <c r="D1000">
        <v>34741.79</v>
      </c>
      <c r="E1000">
        <v>4</v>
      </c>
      <c r="F1000">
        <v>138967.16</v>
      </c>
      <c r="G1000" s="1">
        <v>45567</v>
      </c>
      <c r="H1000" t="s">
        <v>56</v>
      </c>
      <c r="I1000">
        <v>3.2</v>
      </c>
    </row>
    <row r="1001" spans="1:9" x14ac:dyDescent="0.3">
      <c r="A1001" t="s">
        <v>1044</v>
      </c>
      <c r="B1001" t="s">
        <v>32</v>
      </c>
      <c r="C1001" t="s">
        <v>25</v>
      </c>
      <c r="D1001">
        <v>16698.12</v>
      </c>
      <c r="E1001">
        <v>4</v>
      </c>
      <c r="F1001">
        <v>66792.479999999996</v>
      </c>
      <c r="G1001" s="1">
        <v>45377</v>
      </c>
      <c r="H1001" t="s">
        <v>47</v>
      </c>
      <c r="I1001">
        <v>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561D0-A54F-4403-94F8-5F087ACD61DB}">
  <dimension ref="A3:AF29"/>
  <sheetViews>
    <sheetView topLeftCell="F1" workbookViewId="0">
      <selection activeCell="J3" sqref="J3"/>
    </sheetView>
  </sheetViews>
  <sheetFormatPr defaultRowHeight="13.8" x14ac:dyDescent="0.25"/>
  <cols>
    <col min="1" max="1" width="26.109375" style="3" bestFit="1" customWidth="1"/>
    <col min="2" max="2" width="21.6640625" style="3" bestFit="1" customWidth="1"/>
    <col min="3" max="3" width="8.88671875" style="3"/>
    <col min="4" max="4" width="14.88671875" style="3" bestFit="1" customWidth="1"/>
    <col min="5" max="5" width="17.88671875" style="3" bestFit="1" customWidth="1"/>
    <col min="6" max="6" width="16.44140625" style="3" bestFit="1" customWidth="1"/>
    <col min="7" max="7" width="15.33203125" style="3" bestFit="1" customWidth="1"/>
    <col min="8" max="8" width="17.88671875" style="3" bestFit="1" customWidth="1"/>
    <col min="9" max="9" width="16.44140625" style="3" bestFit="1" customWidth="1"/>
    <col min="10" max="10" width="13.33203125" style="3" bestFit="1" customWidth="1"/>
    <col min="11" max="11" width="17.88671875" style="3" bestFit="1" customWidth="1"/>
    <col min="12" max="12" width="23.109375" style="3" bestFit="1" customWidth="1"/>
    <col min="13" max="13" width="13.33203125" style="3" bestFit="1" customWidth="1"/>
    <col min="14" max="14" width="17.88671875" style="3" bestFit="1" customWidth="1"/>
    <col min="15" max="15" width="8.88671875" style="3"/>
    <col min="16" max="16" width="20.109375" style="3" bestFit="1" customWidth="1"/>
    <col min="17" max="17" width="16.5546875" style="3" bestFit="1" customWidth="1"/>
    <col min="18" max="18" width="5" style="3" bestFit="1" customWidth="1"/>
    <col min="19" max="19" width="11.6640625" style="3" bestFit="1" customWidth="1"/>
    <col min="20" max="20" width="8.33203125" style="3" bestFit="1" customWidth="1"/>
    <col min="21" max="21" width="5" style="3" bestFit="1" customWidth="1"/>
    <col min="22" max="22" width="11.5546875" style="3" bestFit="1" customWidth="1"/>
    <col min="23" max="23" width="10.44140625" style="3" bestFit="1" customWidth="1"/>
    <col min="24" max="24" width="5" style="3" bestFit="1" customWidth="1"/>
    <col min="25" max="25" width="13.77734375" style="3" bestFit="1" customWidth="1"/>
    <col min="26" max="26" width="12.33203125" style="3" bestFit="1" customWidth="1"/>
    <col min="27" max="27" width="5" style="3" bestFit="1" customWidth="1"/>
    <col min="28" max="28" width="15.6640625" style="3" bestFit="1" customWidth="1"/>
    <col min="29" max="29" width="17.77734375" style="3" bestFit="1" customWidth="1"/>
    <col min="30" max="30" width="5" style="3" bestFit="1" customWidth="1"/>
    <col min="31" max="31" width="21.109375" style="3" bestFit="1" customWidth="1"/>
    <col min="32" max="32" width="11.6640625" style="3" bestFit="1" customWidth="1"/>
    <col min="33" max="16384" width="8.88671875" style="3"/>
  </cols>
  <sheetData>
    <row r="3" spans="1:32" ht="14.4" x14ac:dyDescent="0.3">
      <c r="A3" s="3" t="s">
        <v>1046</v>
      </c>
      <c r="B3" s="3" t="s">
        <v>1050</v>
      </c>
      <c r="D3" s="4" t="s">
        <v>1054</v>
      </c>
      <c r="E3" s="3" t="s">
        <v>1048</v>
      </c>
      <c r="G3" s="4" t="s">
        <v>1054</v>
      </c>
      <c r="H3" s="3" t="s">
        <v>1048</v>
      </c>
      <c r="J3" s="4" t="s">
        <v>1054</v>
      </c>
      <c r="K3" s="3" t="s">
        <v>1048</v>
      </c>
      <c r="L3"/>
      <c r="M3" s="4" t="s">
        <v>1054</v>
      </c>
      <c r="N3" s="3" t="s">
        <v>1048</v>
      </c>
      <c r="P3" s="4" t="s">
        <v>1047</v>
      </c>
      <c r="Q3" s="4" t="s">
        <v>1070</v>
      </c>
      <c r="T3"/>
      <c r="U3"/>
      <c r="V3"/>
      <c r="W3"/>
      <c r="X3"/>
      <c r="Y3"/>
      <c r="Z3"/>
      <c r="AA3"/>
      <c r="AB3"/>
      <c r="AC3"/>
      <c r="AD3"/>
      <c r="AE3"/>
      <c r="AF3"/>
    </row>
    <row r="4" spans="1:32" ht="14.4" x14ac:dyDescent="0.3">
      <c r="A4" s="14">
        <v>75213112.740000069</v>
      </c>
      <c r="B4" s="6">
        <f>GETPIVOTDATA("Total Sales (INR)",$A$3)</f>
        <v>75213112.740000069</v>
      </c>
      <c r="D4" s="5" t="s">
        <v>19</v>
      </c>
      <c r="E4" s="6">
        <v>4725207.6699999981</v>
      </c>
      <c r="G4" s="5" t="s">
        <v>60</v>
      </c>
      <c r="H4" s="6">
        <v>653124.38</v>
      </c>
      <c r="J4" s="7" t="s">
        <v>1058</v>
      </c>
      <c r="K4" s="14">
        <v>2023756.1000000008</v>
      </c>
      <c r="L4"/>
      <c r="M4" s="5" t="s">
        <v>1056</v>
      </c>
      <c r="N4" s="6">
        <v>21916753.390000004</v>
      </c>
      <c r="P4" s="4" t="s">
        <v>1054</v>
      </c>
      <c r="Q4" s="3" t="s">
        <v>1056</v>
      </c>
      <c r="R4" s="3" t="s">
        <v>1057</v>
      </c>
      <c r="S4" s="3" t="s">
        <v>1055</v>
      </c>
      <c r="T4"/>
      <c r="U4"/>
      <c r="V4"/>
      <c r="W4"/>
      <c r="X4"/>
      <c r="Y4"/>
      <c r="Z4"/>
      <c r="AA4"/>
      <c r="AB4"/>
      <c r="AC4"/>
      <c r="AD4"/>
      <c r="AE4"/>
      <c r="AF4"/>
    </row>
    <row r="5" spans="1:32" ht="14.4" x14ac:dyDescent="0.3">
      <c r="D5" s="5" t="s">
        <v>11</v>
      </c>
      <c r="E5" s="6">
        <v>4878483.3200000022</v>
      </c>
      <c r="G5" s="5" t="s">
        <v>46</v>
      </c>
      <c r="H5" s="6">
        <v>694922.28</v>
      </c>
      <c r="J5" s="7" t="s">
        <v>1059</v>
      </c>
      <c r="K5" s="14">
        <v>1812859.9899999998</v>
      </c>
      <c r="L5"/>
      <c r="M5" s="5" t="s">
        <v>1057</v>
      </c>
      <c r="N5" s="6">
        <v>2603504.8699999996</v>
      </c>
      <c r="P5" s="7" t="s">
        <v>19</v>
      </c>
      <c r="Q5" s="6">
        <v>518</v>
      </c>
      <c r="R5" s="6">
        <v>65</v>
      </c>
      <c r="S5" s="6">
        <v>583</v>
      </c>
      <c r="T5"/>
      <c r="U5"/>
      <c r="V5"/>
      <c r="W5"/>
      <c r="X5"/>
      <c r="Y5"/>
      <c r="Z5"/>
      <c r="AA5"/>
      <c r="AB5"/>
      <c r="AC5"/>
      <c r="AD5"/>
      <c r="AE5"/>
      <c r="AF5"/>
    </row>
    <row r="6" spans="1:32" ht="14.4" x14ac:dyDescent="0.3">
      <c r="D6" s="5" t="s">
        <v>15</v>
      </c>
      <c r="E6" s="6">
        <v>4760149.9399999976</v>
      </c>
      <c r="G6" s="5" t="s">
        <v>50</v>
      </c>
      <c r="H6" s="6">
        <v>788271.48999999976</v>
      </c>
      <c r="J6" s="7" t="s">
        <v>1060</v>
      </c>
      <c r="K6" s="14">
        <v>2070636.2799999993</v>
      </c>
      <c r="L6"/>
      <c r="M6" s="5" t="s">
        <v>1055</v>
      </c>
      <c r="N6" s="6">
        <v>24520258.260000005</v>
      </c>
      <c r="P6" s="7" t="s">
        <v>11</v>
      </c>
      <c r="Q6" s="6">
        <v>599</v>
      </c>
      <c r="R6" s="6">
        <v>54</v>
      </c>
      <c r="S6" s="6">
        <v>653</v>
      </c>
      <c r="T6"/>
      <c r="U6"/>
      <c r="V6"/>
      <c r="W6"/>
      <c r="X6"/>
      <c r="Y6"/>
      <c r="Z6"/>
      <c r="AA6"/>
      <c r="AB6"/>
      <c r="AC6"/>
      <c r="AD6"/>
      <c r="AE6"/>
      <c r="AF6"/>
    </row>
    <row r="7" spans="1:32" ht="14.4" x14ac:dyDescent="0.3">
      <c r="A7" s="3" t="s">
        <v>1047</v>
      </c>
      <c r="B7" s="3" t="s">
        <v>1051</v>
      </c>
      <c r="D7" s="5" t="s">
        <v>22</v>
      </c>
      <c r="E7" s="6">
        <v>5603997.4699999988</v>
      </c>
      <c r="G7" s="5" t="s">
        <v>24</v>
      </c>
      <c r="H7" s="6">
        <v>878522.28000000014</v>
      </c>
      <c r="J7" s="7" t="s">
        <v>1061</v>
      </c>
      <c r="K7" s="14">
        <v>2121242.2800000007</v>
      </c>
      <c r="L7"/>
      <c r="M7" s="6"/>
      <c r="N7" s="6"/>
      <c r="P7" s="7" t="s">
        <v>15</v>
      </c>
      <c r="Q7" s="6">
        <v>545</v>
      </c>
      <c r="R7" s="6">
        <v>64</v>
      </c>
      <c r="S7" s="6">
        <v>609</v>
      </c>
      <c r="T7"/>
      <c r="U7"/>
      <c r="V7"/>
    </row>
    <row r="8" spans="1:32" ht="14.4" x14ac:dyDescent="0.3">
      <c r="A8" s="14">
        <v>3097</v>
      </c>
      <c r="B8" s="6">
        <f>GETPIVOTDATA("Quantity Sold",$A$7)</f>
        <v>3097</v>
      </c>
      <c r="D8" s="5" t="s">
        <v>25</v>
      </c>
      <c r="E8" s="6">
        <v>4552419.8600000013</v>
      </c>
      <c r="G8" s="5" t="s">
        <v>151</v>
      </c>
      <c r="H8" s="6">
        <v>718976.34</v>
      </c>
      <c r="J8" s="7" t="s">
        <v>1062</v>
      </c>
      <c r="K8" s="14">
        <v>2318372.44</v>
      </c>
      <c r="L8"/>
      <c r="M8" s="6"/>
      <c r="N8" s="6"/>
      <c r="P8" s="7" t="s">
        <v>22</v>
      </c>
      <c r="Q8" s="6">
        <v>580</v>
      </c>
      <c r="R8" s="6">
        <v>93</v>
      </c>
      <c r="S8" s="6">
        <v>673</v>
      </c>
    </row>
    <row r="9" spans="1:32" ht="14.4" x14ac:dyDescent="0.3">
      <c r="D9" s="7" t="s">
        <v>1055</v>
      </c>
      <c r="E9" s="14">
        <v>24520258.259999998</v>
      </c>
      <c r="G9" s="5" t="s">
        <v>10</v>
      </c>
      <c r="H9" s="6">
        <v>1601299.0399999998</v>
      </c>
      <c r="J9" s="7" t="s">
        <v>1063</v>
      </c>
      <c r="K9" s="14">
        <v>1880796.43</v>
      </c>
      <c r="L9"/>
      <c r="M9" s="6"/>
      <c r="N9" s="6"/>
      <c r="P9" s="7" t="s">
        <v>25</v>
      </c>
      <c r="Q9" s="6">
        <v>519</v>
      </c>
      <c r="R9" s="6">
        <v>60</v>
      </c>
      <c r="S9" s="6">
        <v>579</v>
      </c>
    </row>
    <row r="10" spans="1:32" ht="14.4" x14ac:dyDescent="0.3">
      <c r="G10" s="5" t="s">
        <v>18</v>
      </c>
      <c r="H10" s="6">
        <v>1098733.74</v>
      </c>
      <c r="J10" s="7" t="s">
        <v>1064</v>
      </c>
      <c r="K10" s="14">
        <v>2541971.4200000004</v>
      </c>
      <c r="L10"/>
      <c r="M10" s="6"/>
      <c r="N10" s="6"/>
      <c r="P10" s="5" t="s">
        <v>1055</v>
      </c>
      <c r="Q10" s="6">
        <v>2761</v>
      </c>
      <c r="R10" s="6">
        <v>336</v>
      </c>
      <c r="S10" s="6">
        <v>3097</v>
      </c>
    </row>
    <row r="11" spans="1:32" ht="14.4" x14ac:dyDescent="0.3">
      <c r="A11" s="3" t="s">
        <v>1048</v>
      </c>
      <c r="B11" s="3" t="s">
        <v>1052</v>
      </c>
      <c r="G11" s="5" t="s">
        <v>93</v>
      </c>
      <c r="H11" s="6">
        <v>975443.19999999972</v>
      </c>
      <c r="J11" s="7" t="s">
        <v>1065</v>
      </c>
      <c r="K11" s="14">
        <v>1837971.5999999992</v>
      </c>
      <c r="L11"/>
      <c r="M11" s="6"/>
      <c r="N11" s="6"/>
    </row>
    <row r="12" spans="1:32" ht="14.4" x14ac:dyDescent="0.3">
      <c r="A12" s="14">
        <v>24520258.260000009</v>
      </c>
      <c r="B12" s="6">
        <f>GETPIVOTDATA("Price (INR)",$A$11)</f>
        <v>24520258.260000009</v>
      </c>
      <c r="G12" s="5" t="s">
        <v>69</v>
      </c>
      <c r="H12" s="6">
        <v>861250.99000000011</v>
      </c>
      <c r="J12" s="7" t="s">
        <v>1066</v>
      </c>
      <c r="K12" s="14">
        <v>2023175.75</v>
      </c>
      <c r="L12"/>
      <c r="M12" s="6"/>
      <c r="N12" s="6"/>
    </row>
    <row r="13" spans="1:32" ht="14.4" x14ac:dyDescent="0.3">
      <c r="G13" s="5" t="s">
        <v>82</v>
      </c>
      <c r="H13" s="6">
        <v>1239609.42</v>
      </c>
      <c r="J13" s="7" t="s">
        <v>1067</v>
      </c>
      <c r="K13" s="14">
        <v>2049290.0100000002</v>
      </c>
      <c r="L13"/>
      <c r="M13" s="6"/>
      <c r="N13" s="6"/>
    </row>
    <row r="14" spans="1:32" ht="14.4" x14ac:dyDescent="0.3">
      <c r="G14" s="5" t="s">
        <v>34</v>
      </c>
      <c r="H14" s="6">
        <v>993158.47999999986</v>
      </c>
      <c r="J14" s="7" t="s">
        <v>1068</v>
      </c>
      <c r="K14" s="14">
        <v>1801502.27</v>
      </c>
      <c r="L14"/>
      <c r="M14" s="6"/>
      <c r="N14" s="6"/>
    </row>
    <row r="15" spans="1:32" ht="14.4" x14ac:dyDescent="0.3">
      <c r="A15" s="3" t="s">
        <v>1049</v>
      </c>
      <c r="B15" s="3" t="s">
        <v>1053</v>
      </c>
      <c r="G15" s="5" t="s">
        <v>14</v>
      </c>
      <c r="H15" s="6">
        <v>1164057.7599999995</v>
      </c>
      <c r="J15" s="7" t="s">
        <v>1069</v>
      </c>
      <c r="K15" s="14">
        <v>2038683.6899999992</v>
      </c>
      <c r="L15"/>
      <c r="M15" s="6"/>
      <c r="N15" s="6"/>
    </row>
    <row r="16" spans="1:32" ht="14.4" x14ac:dyDescent="0.3">
      <c r="A16" s="12">
        <v>3.0110999999999981</v>
      </c>
      <c r="B16" s="13">
        <f>GETPIVOTDATA("Customer Rating",$A$15)</f>
        <v>3.0110999999999981</v>
      </c>
      <c r="G16" s="5" t="s">
        <v>71</v>
      </c>
      <c r="H16" s="6">
        <v>1288813.1500000001</v>
      </c>
      <c r="J16" s="7" t="s">
        <v>1055</v>
      </c>
      <c r="K16" s="14">
        <v>24520258.259999998</v>
      </c>
      <c r="L16"/>
    </row>
    <row r="17" spans="1:10" x14ac:dyDescent="0.25">
      <c r="G17" s="5" t="s">
        <v>40</v>
      </c>
      <c r="H17" s="6">
        <v>924716.40000000014</v>
      </c>
    </row>
    <row r="18" spans="1:10" x14ac:dyDescent="0.25">
      <c r="G18" s="5" t="s">
        <v>27</v>
      </c>
      <c r="H18" s="6">
        <v>797811.61</v>
      </c>
    </row>
    <row r="19" spans="1:10" x14ac:dyDescent="0.25">
      <c r="G19" s="5" t="s">
        <v>38</v>
      </c>
      <c r="H19" s="6">
        <v>963979.13</v>
      </c>
      <c r="J19" s="8"/>
    </row>
    <row r="20" spans="1:10" x14ac:dyDescent="0.25">
      <c r="G20" s="5" t="s">
        <v>100</v>
      </c>
      <c r="H20" s="6">
        <v>818547.31000000029</v>
      </c>
      <c r="J20" s="9"/>
    </row>
    <row r="21" spans="1:10" x14ac:dyDescent="0.25">
      <c r="G21" s="5" t="s">
        <v>75</v>
      </c>
      <c r="H21" s="6">
        <v>876527.41</v>
      </c>
      <c r="J21" s="10"/>
    </row>
    <row r="22" spans="1:10" x14ac:dyDescent="0.25">
      <c r="A22" s="3" t="s">
        <v>1045</v>
      </c>
      <c r="G22" s="5" t="s">
        <v>44</v>
      </c>
      <c r="H22" s="6">
        <v>945466.08000000007</v>
      </c>
      <c r="J22" s="11"/>
    </row>
    <row r="23" spans="1:10" x14ac:dyDescent="0.25">
      <c r="G23" s="5" t="s">
        <v>21</v>
      </c>
      <c r="H23" s="6">
        <v>1228784.5700000003</v>
      </c>
    </row>
    <row r="24" spans="1:10" x14ac:dyDescent="0.25">
      <c r="G24" s="5" t="s">
        <v>30</v>
      </c>
      <c r="H24" s="6">
        <v>953997.68</v>
      </c>
    </row>
    <row r="25" spans="1:10" x14ac:dyDescent="0.25">
      <c r="G25" s="5" t="s">
        <v>120</v>
      </c>
      <c r="H25" s="6">
        <v>930417.38000000024</v>
      </c>
    </row>
    <row r="26" spans="1:10" x14ac:dyDescent="0.25">
      <c r="G26" s="5" t="s">
        <v>32</v>
      </c>
      <c r="H26" s="6">
        <v>1292544.2100000004</v>
      </c>
    </row>
    <row r="27" spans="1:10" x14ac:dyDescent="0.25">
      <c r="G27" s="5" t="s">
        <v>36</v>
      </c>
      <c r="H27" s="6">
        <v>901324.25</v>
      </c>
    </row>
    <row r="28" spans="1:10" x14ac:dyDescent="0.25">
      <c r="G28" s="5" t="s">
        <v>54</v>
      </c>
      <c r="H28" s="6">
        <v>929959.68000000017</v>
      </c>
    </row>
    <row r="29" spans="1:10" x14ac:dyDescent="0.25">
      <c r="G29" s="5" t="s">
        <v>1055</v>
      </c>
      <c r="H29" s="6">
        <v>24520258.260000002</v>
      </c>
    </row>
  </sheetData>
  <conditionalFormatting sqref="J20">
    <cfRule type="colorScale" priority="1">
      <colorScale>
        <cfvo type="min"/>
        <cfvo type="percentile" val="50"/>
        <cfvo type="max"/>
        <color rgb="FFF8696B"/>
        <color rgb="FFFFEB84"/>
        <color rgb="FF63BE7B"/>
      </colorScale>
    </cfRule>
  </conditionalFormatting>
  <pageMargins left="0.7" right="0.7" top="0.75" bottom="0.75" header="0.3" footer="0.3"/>
  <drawing r:id="rId10"/>
  <extLst>
    <ext xmlns:x14="http://schemas.microsoft.com/office/spreadsheetml/2009/9/main" uri="{05C60535-1F16-4fd2-B633-F4F36F0B64E0}">
      <x14:sparklineGroups xmlns:xm="http://schemas.microsoft.com/office/excel/2006/main">
        <x14:sparklineGroup type="stacked" displayEmptyCellsAs="gap" negative="1" xr2:uid="{B3E3A17B-E879-4A3B-9E9E-FB28964E11FF}">
          <x14:colorSeries rgb="FF376092"/>
          <x14:colorNegative rgb="FFD00000"/>
          <x14:colorAxis rgb="FF000000"/>
          <x14:colorMarkers rgb="FFD00000"/>
          <x14:colorFirst rgb="FFD00000"/>
          <x14:colorLast rgb="FFD00000"/>
          <x14:colorHigh rgb="FFD00000"/>
          <x14:colorLow rgb="FFD00000"/>
          <x14:sparklines>
            <x14:sparkline>
              <xm:f>Sheet3!P5:S5</xm:f>
              <xm:sqref>T5</xm:sqref>
            </x14:sparkline>
            <x14:sparkline>
              <xm:f>Sheet3!P6:S6</xm:f>
              <xm:sqref>T6</xm:sqref>
            </x14:sparkline>
            <x14:sparkline>
              <xm:f>Sheet3!P7:S7</xm:f>
              <xm:sqref>T7</xm:sqref>
            </x14:sparkline>
            <x14:sparkline>
              <xm:f>Sheet3!P8:S8</xm:f>
              <xm:sqref>T8</xm:sqref>
            </x14:sparkline>
            <x14:sparkline>
              <xm:f>Sheet3!P9:S9</xm:f>
              <xm:sqref>T9</xm:sqref>
            </x14:sparkline>
          </x14:sparklines>
        </x14:sparklineGroup>
      </x14:sparklineGroups>
    </ex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CA281-24C2-48C1-A7CE-B320D346C189}">
  <dimension ref="A1"/>
  <sheetViews>
    <sheetView showRowColHeaders="0" tabSelected="1" zoomScale="80" zoomScaleNormal="80" workbookViewId="0">
      <selection activeCell="Z27" sqref="Z27"/>
    </sheetView>
  </sheetViews>
  <sheetFormatPr defaultRowHeight="14.4" x14ac:dyDescent="0.3"/>
  <cols>
    <col min="1" max="16384" width="8.88671875" style="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Roshan Bhalerao</dc:creator>
  <cp:lastModifiedBy>Roshan Bhalerao</cp:lastModifiedBy>
  <dcterms:created xsi:type="dcterms:W3CDTF">2026-06-06T08:01:00Z</dcterms:created>
  <dcterms:modified xsi:type="dcterms:W3CDTF">2026-06-07T13:56:00Z</dcterms:modified>
</cp:coreProperties>
</file>